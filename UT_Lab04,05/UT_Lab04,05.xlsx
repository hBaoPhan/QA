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556" firstSheet="1"/>
  </bookViews>
  <sheets>
    <sheet name="UT_Lab04" sheetId="4" r:id="rId1"/>
    <sheet name="UT_Lab05" sheetId="5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<sst xmlns="http://schemas.openxmlformats.org/spreadsheetml/2006/main" count="388" uniqueCount="119">
  <si>
    <t>Function Code</t>
  </si>
  <si>
    <t>Function Name</t>
  </si>
  <si>
    <t>Created By</t>
  </si>
  <si>
    <t>Phan Hoài Bảo</t>
  </si>
  <si>
    <t>Executed By</t>
  </si>
  <si>
    <t>Lines of code</t>
  </si>
  <si>
    <t>Lack of test cases</t>
  </si>
  <si>
    <t>Test requirement</t>
  </si>
  <si>
    <t>Xóa n ký tự trong s bắt đầu từ vị trí p (p ∈ [0, L-1], L = s.length). 
p ≥ L → trả về s; 
n &gt; L-p → trả về s[0..p-1];
 p &lt; 0 hoặc n &lt; 0 → trả về s.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</si>
  <si>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</si>
  <si>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</si>
  <si>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</si>
  <si>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</si>
  <si>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</si>
  <si>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</si>
  <si>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</si>
  <si>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</si>
  <si>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</si>
  <si>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</si>
  <si>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</si>
  <si>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</si>
  <si>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</si>
  <si>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</si>
  <si>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</si>
  <si>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</si>
  <si>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</si>
  <si>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</si>
  <si>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Condition</t>
  </si>
  <si>
    <t>s</t>
  </si>
  <si>
    <t>"abcdef"</t>
  </si>
  <si>
    <t>O</t>
  </si>
  <si>
    <t>"a"</t>
  </si>
  <si>
    <t>n</t>
  </si>
  <si>
    <t>Valid Partition</t>
  </si>
  <si>
    <t>Invalid Partition</t>
  </si>
  <si>
    <t>Valid Boundary</t>
  </si>
  <si>
    <t>Invalid boundary</t>
  </si>
  <si>
    <t>&gt; 0 kí tự</t>
  </si>
  <si>
    <t>Rỗng</t>
  </si>
  <si>
    <t>1 kí tự</t>
  </si>
  <si>
    <t>0 kí tự</t>
  </si>
  <si>
    <t>p</t>
  </si>
  <si>
    <t>0 &lt;= p &lt;s</t>
  </si>
  <si>
    <t>p &lt; 0</t>
  </si>
  <si>
    <t>p &gt;= s</t>
  </si>
  <si>
    <t>s-1</t>
  </si>
  <si>
    <t xml:space="preserve">n&gt;s-p </t>
  </si>
  <si>
    <t>s-p</t>
  </si>
  <si>
    <t>s-p+1</t>
  </si>
  <si>
    <t>Không phải số nguyên</t>
  </si>
  <si>
    <t>Confirm</t>
  </si>
  <si>
    <t>Return</t>
  </si>
  <si>
    <t>"aef"</t>
  </si>
  <si>
    <t>"abcde"</t>
  </si>
  <si>
    <t>"ab"</t>
  </si>
  <si>
    <t>Exception</t>
  </si>
  <si>
    <t>Type(N : Normal, A : Abnormal, B : Boundary)</t>
  </si>
  <si>
    <t>N</t>
  </si>
  <si>
    <t>B</t>
  </si>
  <si>
    <t>Passed/Failed</t>
  </si>
  <si>
    <t>F</t>
  </si>
  <si>
    <t>P</t>
  </si>
  <si>
    <t>Executed Date</t>
  </si>
  <si>
    <t>#</t>
  </si>
  <si>
    <t>Defect ID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</si>
  <si>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</si>
  <si>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</si>
  <si>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</si>
  <si>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</si>
  <si>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</si>
  <si>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</si>
  <si>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</si>
  <si>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</si>
  <si>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</si>
  <si>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</si>
  <si>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</si>
  <si>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Chú thích:</t>
  </si>
  <si>
    <t xml:space="preserve">Assert.AreEqual failed. Expected:&lt;aef&gt;. Actual:&lt;abdef&gt;. </t>
  </si>
  <si>
    <t>System.ArgumentOutOfRangeException: Length cannot be less than zero</t>
  </si>
  <si>
    <t>System.ArgumentOutOfRangeException: StartIndex cannot be less than zero.</t>
  </si>
  <si>
    <t xml:space="preserve">Assert.AreEqual failed. Expected:&lt;abcdef&gt;. Actual:&lt;abcd&gt;. </t>
  </si>
  <si>
    <t xml:space="preserve"> Assert.AreEqual failed. Expected:&lt;abcde&gt;. Actual:&lt;f&gt;. </t>
  </si>
  <si>
    <t xml:space="preserve">Assert.AreEqual failed. Expected:&lt;abcdef&gt;. Actual:&lt;abdef&gt;. </t>
  </si>
  <si>
    <t>System.ArgumentOutOfRangeException: Length cannot be less than zero.</t>
  </si>
  <si>
    <t xml:space="preserve">Assert.AreEqual failed. Expected:&lt;abcdef&gt;. Actual:&lt;abc&gt;. </t>
  </si>
  <si>
    <t>ThayThe(String s1, String s2, String s3)</t>
  </si>
  <si>
    <t>Thay thế s3 vào s1 tại mọi vị trí s2 xuất hiện. 
3 chuỗi rỗng → "";
 s2 rỗng → s1;
 s3 rỗng → xóa s2 khỏi s1; 
s2 ∉ s1 → s1. Biên: s2 ở đầu/cuối s1.</t>
  </si>
  <si>
    <t>s1</t>
  </si>
  <si>
    <t>"Truong dh cong nghiep"</t>
  </si>
  <si>
    <t>"abc"</t>
  </si>
  <si>
    <t>""</t>
  </si>
  <si>
    <t>null</t>
  </si>
  <si>
    <t>"hello world"</t>
  </si>
  <si>
    <t>s2</t>
  </si>
  <si>
    <t>"dh"</t>
  </si>
  <si>
    <t>"xyz"</t>
  </si>
  <si>
    <t>"b"</t>
  </si>
  <si>
    <t>"hello"</t>
  </si>
  <si>
    <t>"world"</t>
  </si>
  <si>
    <t>s3</t>
  </si>
  <si>
    <t>"dai hoc"</t>
  </si>
  <si>
    <t>"123"</t>
  </si>
  <si>
    <t>"hi"</t>
  </si>
  <si>
    <t>"you"</t>
  </si>
  <si>
    <t>"def"</t>
  </si>
  <si>
    <t>"x"</t>
  </si>
  <si>
    <t>"Truong dai hoc cong nghiep"</t>
  </si>
  <si>
    <t>"hi world"</t>
  </si>
  <si>
    <t>"hello you"</t>
  </si>
  <si>
    <t>Result</t>
  </si>
  <si>
    <t>A</t>
  </si>
  <si>
    <t xml:space="preserve"> Assert.AreEqual failed. Expected:&lt;abcdef&gt;. Actual:&lt;&gt;.</t>
  </si>
  <si>
    <t xml:space="preserve">ssert.AreEqual failed. Expected:&lt;abc&gt;. Actual:&lt;&gt;. </t>
  </si>
  <si>
    <t xml:space="preserve"> System.NullReferenceException: Object reference not set to an instance of an object.</t>
  </si>
  <si>
    <t xml:space="preserve"> System.ArgumentNullException: Value cannot be null.</t>
  </si>
  <si>
    <t xml:space="preserve"> Assert.IsNotNull failed. </t>
  </si>
  <si>
    <t xml:space="preserve"> Assert.AreEqual failed. Expected:&lt;hi world&gt;. Actual:&lt;&gt;. 
</t>
  </si>
  <si>
    <t xml:space="preserve"> Assert.AreEqual failed. Expected:&lt;def&gt;. Actual:&lt;&gt;. </t>
  </si>
  <si>
    <t xml:space="preserve"> Assert.AreEqual failed. Expected:&lt;a&gt;. Actual:&lt;&gt;.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</si>
</sst>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9">
    <font>
      <sz val="11"/>
      <color theme="1"/>
      <name val="Calibri"/>
      <charset val="134"/>
      <scheme val="minor"/>
    </font>
    <font>
      <sz val="10"/>
      <color theme="1"/>
      <name val="Times New Roman"/>
      <charset val="1"/>
    </font>
    <font>
      <b/>
      <sz val="10"/>
      <color rgb="FF000000"/>
      <name val="Times New Roman"/>
      <charset val="1"/>
    </font>
    <font>
      <i/>
      <sz val="10"/>
      <color rgb="FF000000"/>
      <name val="Times New Roman"/>
      <charset val="1"/>
    </font>
    <font>
      <sz val="10"/>
      <color rgb="FF000000"/>
      <name val="Times New Roman"/>
      <charset val="1"/>
    </font>
    <font>
      <b/>
      <sz val="10"/>
      <color rgb="FFFFFFFF"/>
      <name val="Times New Roman"/>
      <charset val="1"/>
    </font>
    <font>
      <sz val="10"/>
      <name val="Times New Roman"/>
      <charset val="1"/>
    </font>
    <font>
      <b/>
      <sz val="10"/>
      <name val="Tahoma"/>
      <charset val="134"/>
    </font>
    <font>
      <b/>
      <sz val="10"/>
      <name val="Tahoma"/>
      <charset val="1"/>
    </font>
    <font>
      <sz val="10"/>
      <color theme="1"/>
      <name val="Calibri"/>
      <charset val="1"/>
    </font>
    <font>
      <b/>
      <sz val="10"/>
      <color rgb="FF000000"/>
      <name val="Tahoma"/>
      <charset val="1"/>
    </font>
    <font>
      <sz val="10"/>
      <name val="Times New Roman"/>
      <charset val="134"/>
    </font>
    <font>
      <sz val="10"/>
      <name val="Tahoma"/>
      <charset val="134"/>
    </font>
    <font>
      <b/>
      <sz val="10"/>
      <name val="Times New Roman"/>
      <charset val="1"/>
    </font>
    <font>
      <sz val="11"/>
      <color rgb="FF000000"/>
      <name val="Calibri"/>
      <charset val="134"/>
      <scheme val="minor"/>
    </font>
    <font>
      <b/>
      <sz val="10"/>
      <color rgb="FF000000"/>
      <name val="Tahoma"/>
      <charset val="134"/>
    </font>
    <font>
      <sz val="10"/>
      <color theme="4" tint="-0.5"/>
      <name val="Times New Roman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34"/>
    </font>
    <font>
      <sz val="11"/>
      <name val="ＭＳ Ｐゴシック"/>
      <charset val="128"/>
    </font>
    <font>
      <sz val="11"/>
      <color theme="1"/>
      <name val="Calibri"/>
      <charset val="1"/>
    </font>
  </fonts>
  <fills count="37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D9D9D9"/>
      </patternFill>
    </fill>
    <fill>
      <patternFill patternType="solid">
        <fgColor theme="4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9" applyNumberFormat="0" applyAlignment="0" applyProtection="0">
      <alignment vertical="center"/>
    </xf>
    <xf numFmtId="0" fontId="26" fillId="8" borderId="10" applyNumberFormat="0" applyAlignment="0" applyProtection="0">
      <alignment vertical="center"/>
    </xf>
    <xf numFmtId="0" fontId="27" fillId="8" borderId="9" applyNumberFormat="0" applyAlignment="0" applyProtection="0">
      <alignment vertical="center"/>
    </xf>
    <xf numFmtId="0" fontId="28" fillId="9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>
      <alignment vertical="center"/>
    </xf>
    <xf numFmtId="0" fontId="38" fillId="0" borderId="0"/>
  </cellStyleXfs>
  <cellXfs count="46">
    <xf numFmtId="0" fontId="0" fillId="0" borderId="0" xfId="0">
      <alignment vertical="center"/>
    </xf>
    <xf numFmtId="0" fontId="1" fillId="0" borderId="0" xfId="54" applyFont="1"/>
    <xf numFmtId="0" fontId="2" fillId="0" borderId="1" xfId="54" applyFont="1" applyBorder="1" applyAlignment="1">
      <alignment horizontal="left" vertical="center"/>
    </xf>
    <xf numFmtId="49" fontId="3" fillId="0" borderId="1" xfId="54" applyNumberFormat="1" applyFont="1" applyBorder="1" applyAlignment="1">
      <alignment horizontal="center" vertical="center"/>
    </xf>
    <xf numFmtId="0" fontId="3" fillId="0" borderId="1" xfId="54" applyFont="1" applyBorder="1" applyAlignment="1">
      <alignment horizontal="center" vertical="center"/>
    </xf>
    <xf numFmtId="49" fontId="4" fillId="0" borderId="1" xfId="54" applyNumberFormat="1" applyFont="1" applyBorder="1" applyAlignment="1">
      <alignment horizontal="center" vertical="center"/>
    </xf>
    <xf numFmtId="0" fontId="4" fillId="0" borderId="1" xfId="54" applyFont="1" applyBorder="1" applyAlignment="1">
      <alignment horizontal="center" vertical="center"/>
    </xf>
    <xf numFmtId="0" fontId="4" fillId="0" borderId="1" xfId="54" applyFont="1" applyBorder="1" applyAlignment="1">
      <alignment horizontal="left" vertical="center"/>
    </xf>
    <xf numFmtId="0" fontId="3" fillId="0" borderId="1" xfId="54" applyFont="1" applyBorder="1" applyAlignment="1">
      <alignment horizontal="left" vertical="center" wrapText="1"/>
    </xf>
    <xf numFmtId="0" fontId="2" fillId="0" borderId="1" xfId="54" applyFont="1" applyBorder="1" applyAlignment="1">
      <alignment horizontal="center" vertical="center"/>
    </xf>
    <xf numFmtId="0" fontId="1" fillId="2" borderId="1" xfId="54" applyFont="1" applyFill="1" applyBorder="1"/>
    <xf numFmtId="0" fontId="5" fillId="2" borderId="1" xfId="54" applyFont="1" applyFill="1" applyBorder="1" applyAlignment="1">
      <alignment horizontal="center" vertical="center" textRotation="90"/>
    </xf>
    <xf numFmtId="0" fontId="5" fillId="2" borderId="1" xfId="54" applyFont="1" applyFill="1" applyBorder="1" applyAlignment="1">
      <alignment vertical="top"/>
    </xf>
    <xf numFmtId="0" fontId="6" fillId="0" borderId="1" xfId="54" applyFont="1" applyBorder="1" applyAlignment="1">
      <alignment horizontal="center" vertical="center"/>
    </xf>
    <xf numFmtId="0" fontId="4" fillId="0" borderId="1" xfId="54" applyFont="1" applyBorder="1" applyAlignment="1">
      <alignment horizontal="right" vertical="center"/>
    </xf>
    <xf numFmtId="0" fontId="7" fillId="0" borderId="1" xfId="51" applyFont="1" applyFill="1" applyBorder="1" applyAlignment="1">
      <alignment horizontal="center" vertical="center"/>
    </xf>
    <xf numFmtId="0" fontId="8" fillId="0" borderId="1" xfId="54" applyFont="1" applyBorder="1" applyAlignment="1">
      <alignment horizontal="center" vertical="center"/>
    </xf>
    <xf numFmtId="0" fontId="2" fillId="0" borderId="2" xfId="54" applyFont="1" applyBorder="1" applyAlignment="1">
      <alignment horizontal="right" vertical="center"/>
    </xf>
    <xf numFmtId="0" fontId="2" fillId="0" borderId="3" xfId="54" applyFont="1" applyBorder="1" applyAlignment="1">
      <alignment horizontal="right" vertical="center"/>
    </xf>
    <xf numFmtId="0" fontId="2" fillId="0" borderId="4" xfId="54" applyFont="1" applyBorder="1" applyAlignment="1">
      <alignment horizontal="right" vertical="center"/>
    </xf>
    <xf numFmtId="0" fontId="4" fillId="0" borderId="2" xfId="54" applyFont="1" applyBorder="1" applyAlignment="1">
      <alignment horizontal="right" vertical="center"/>
    </xf>
    <xf numFmtId="0" fontId="4" fillId="0" borderId="3" xfId="54" applyFont="1" applyBorder="1" applyAlignment="1">
      <alignment horizontal="right" vertical="center"/>
    </xf>
    <xf numFmtId="0" fontId="4" fillId="0" borderId="4" xfId="54" applyFont="1" applyBorder="1" applyAlignment="1">
      <alignment horizontal="right" vertical="center"/>
    </xf>
    <xf numFmtId="0" fontId="2" fillId="3" borderId="0" xfId="54" applyFont="1" applyFill="1" applyAlignment="1">
      <alignment horizontal="center" vertical="center"/>
    </xf>
    <xf numFmtId="0" fontId="9" fillId="0" borderId="0" xfId="54" applyFont="1"/>
    <xf numFmtId="0" fontId="10" fillId="0" borderId="5" xfId="0" applyFont="1" applyBorder="1" applyAlignment="1">
      <alignment horizontal="center" vertical="center"/>
    </xf>
    <xf numFmtId="0" fontId="1" fillId="0" borderId="1" xfId="54" applyFont="1" applyBorder="1"/>
    <xf numFmtId="0" fontId="6" fillId="0" borderId="1" xfId="54" applyFont="1" applyBorder="1" applyAlignment="1">
      <alignment horizontal="left" vertical="center"/>
    </xf>
    <xf numFmtId="0" fontId="6" fillId="4" borderId="1" xfId="54" applyFont="1" applyFill="1" applyBorder="1" applyAlignment="1">
      <alignment horizontal="center" vertical="center"/>
    </xf>
    <xf numFmtId="0" fontId="11" fillId="0" borderId="1" xfId="54" applyFont="1" applyBorder="1" applyAlignment="1">
      <alignment horizontal="center" vertical="center"/>
    </xf>
    <xf numFmtId="0" fontId="11" fillId="0" borderId="1" xfId="54" applyFont="1" applyBorder="1" applyAlignment="1">
      <alignment horizontal="center" vertical="center" textRotation="90"/>
    </xf>
    <xf numFmtId="0" fontId="6" fillId="0" borderId="1" xfId="54" applyFont="1" applyBorder="1" applyAlignment="1">
      <alignment horizontal="center" vertical="center" textRotation="90"/>
    </xf>
    <xf numFmtId="0" fontId="7" fillId="0" borderId="0" xfId="49" applyFont="1" applyFill="1" applyAlignment="1"/>
    <xf numFmtId="0" fontId="12" fillId="0" borderId="0" xfId="49" applyFont="1" applyFill="1" applyAlignment="1">
      <alignment horizontal="right"/>
    </xf>
    <xf numFmtId="58" fontId="12" fillId="0" borderId="0" xfId="49" applyNumberFormat="1" applyFont="1" applyFill="1" applyAlignment="1">
      <alignment horizontal="right"/>
    </xf>
    <xf numFmtId="0" fontId="1" fillId="0" borderId="0" xfId="54" applyFont="1" applyAlignment="1"/>
    <xf numFmtId="0" fontId="4" fillId="0" borderId="1" xfId="54" applyFont="1" applyBorder="1" applyAlignment="1">
      <alignment horizontal="left" vertical="center" wrapText="1"/>
    </xf>
    <xf numFmtId="0" fontId="13" fillId="0" borderId="1" xfId="54" applyFont="1" applyBorder="1" applyAlignment="1">
      <alignment horizontal="center" vertical="center"/>
    </xf>
    <xf numFmtId="0" fontId="14" fillId="0" borderId="1" xfId="0" applyFont="1" applyFill="1" applyBorder="1" applyAlignment="1"/>
    <xf numFmtId="0" fontId="14" fillId="0" borderId="4" xfId="0" applyFont="1" applyFill="1" applyBorder="1" applyAlignment="1"/>
    <xf numFmtId="0" fontId="14" fillId="0" borderId="4" xfId="0" applyFont="1" applyFill="1" applyBorder="1" applyAlignment="1">
      <alignment wrapText="1"/>
    </xf>
    <xf numFmtId="0" fontId="0" fillId="0" borderId="1" xfId="0" applyFill="1" applyBorder="1" applyAlignment="1"/>
    <xf numFmtId="0" fontId="0" fillId="0" borderId="1" xfId="0" applyFill="1" applyBorder="1" applyAlignment="1">
      <alignment vertical="top"/>
    </xf>
    <xf numFmtId="0" fontId="15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6" fillId="5" borderId="0" xfId="54" applyFont="1" applyFill="1"/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Template_UnitTest Case_v0.9" xfId="49"/>
    <cellStyle name="Normal_Sheet1" xfId="50"/>
    <cellStyle name="Normal_Template_UnitTest Case_v0.9 2" xfId="51"/>
    <cellStyle name="Normal_Sheet1 2" xfId="52"/>
    <cellStyle name="Normal 2" xfId="53"/>
    <cellStyle name="Normal 3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0</xdr:colOff>
      <xdr:row>1</xdr:row>
      <xdr:rowOff>0</xdr:rowOff>
    </xdr:from>
    <xdr:to>
      <xdr:col>24</xdr:col>
      <xdr:colOff>929640</xdr:colOff>
      <xdr:row>11</xdr:row>
      <xdr:rowOff>200025</xdr:rowOff>
    </xdr:to>
    <xdr:grpSp>
      <xdr:nvGrpSpPr>
        <xdr:cNvPr id="3" name="Group 2"/>
        <xdr:cNvGrpSpPr/>
      </xdr:nvGrpSpPr>
      <xdr:grpSpPr>
        <a:xfrm>
          <a:off x="7429500" y="167640"/>
          <a:ext cx="6583680" cy="3323590"/>
          <a:chOff x="6080760" y="548640"/>
          <a:chExt cx="5372566" cy="3612095"/>
        </a:xfrm>
      </xdr:grpSpPr>
      <xdr:pic>
        <xdr:nvPicPr>
          <xdr:cNvPr id="4" name="Picture 3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6096000" y="548640"/>
            <a:ext cx="5090601" cy="1120237"/>
          </a:xfrm>
          <a:prstGeom prst="rect">
            <a:avLst/>
          </a:prstGeom>
        </xdr:spPr>
      </xdr:pic>
      <xdr:pic>
        <xdr:nvPicPr>
          <xdr:cNvPr id="5" name="Picture 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6080760" y="1684020"/>
            <a:ext cx="5372566" cy="2476715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18</xdr:col>
      <xdr:colOff>526675</xdr:colOff>
      <xdr:row>1</xdr:row>
      <xdr:rowOff>56030</xdr:rowOff>
    </xdr:from>
    <xdr:ext cx="7160559" cy="371444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90155" y="223520"/>
          <a:ext cx="7160260" cy="371411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baoph\Downloads\07_ToanToanToanTuan\07_ToanToanToanTuan\07_ToanToanToanTua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FunctionList"/>
      <sheetName val="Test Report"/>
      <sheetName val="UT Lab 1"/>
      <sheetName val="UT Lab 2"/>
      <sheetName val="UT Lab 3"/>
      <sheetName val="UT Lab 4"/>
      <sheetName val="UT Lab 5"/>
      <sheetName val="UT Lab 6"/>
      <sheetName val="UT Lab 7"/>
      <sheetName val="UT Lab 8"/>
    </sheetNames>
    <sheetDataSet>
      <sheetData sheetId="0"/>
      <sheetData sheetId="1">
        <row r="15">
          <cell r="D15" t="str">
            <v>HuyChuoi(String s, int n, int p)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Z59"/>
  <sheetViews>
    <sheetView tabSelected="1" topLeftCell="A36" workbookViewId="0">
      <selection activeCell="F62" sqref="F62"/>
    </sheetView>
  </sheetViews>
  <sheetFormatPr defaultColWidth="7.66666666666667" defaultRowHeight="13.2"/>
  <cols>
    <col min="1" max="1" width="15.4444444444444" style="1" customWidth="1"/>
    <col min="2" max="2" width="9.66666666666667" style="1" customWidth="1"/>
    <col min="3" max="3" width="12.1111111111111" style="1" customWidth="1"/>
    <col min="4" max="4" width="16.2222222222222" style="1" customWidth="1"/>
    <col min="5" max="17" width="3.33333333333333" style="1" customWidth="1"/>
    <col min="18" max="18" width="2.66666666666667" style="1" customWidth="1"/>
    <col min="19" max="19" width="8.88888888888889" style="1" customWidth="1"/>
    <col min="20" max="20" width="23.4444444444444" style="1" customWidth="1"/>
    <col min="21" max="21" width="13.3333333333333" style="1" customWidth="1"/>
    <col min="22" max="22" width="12.4444444444444" style="1" customWidth="1"/>
    <col min="23" max="23" width="14.1111111111111" style="1" customWidth="1"/>
    <col min="24" max="24" width="19.1111111111111" style="1" customWidth="1"/>
    <col min="25" max="25" width="28" style="1" customWidth="1"/>
    <col min="26" max="26" width="8.77777777777778" style="1" customWidth="1"/>
    <col min="27" max="16384" width="7.66666666666667" style="1"/>
  </cols>
  <sheetData>
    <row r="2" s="1" customFormat="1" ht="15.75" customHeight="1" spans="1:26">
      <c r="A2" s="2" t="s">
        <v>0</v>
      </c>
      <c r="B2" s="3"/>
      <c r="C2" s="4"/>
      <c r="D2" s="4"/>
      <c r="E2" s="2" t="s">
        <v>1</v>
      </c>
      <c r="F2" s="2"/>
      <c r="G2" s="2"/>
      <c r="H2" s="2"/>
      <c r="I2" s="2"/>
      <c r="J2" s="2"/>
      <c r="K2" s="2"/>
      <c r="L2" s="5" t="str">
        <f>[1]FunctionList!D15</f>
        <v>HuyChuoi(String s, int n, int p)</v>
      </c>
      <c r="M2" s="6"/>
      <c r="N2" s="6"/>
      <c r="O2" s="6"/>
      <c r="P2" s="6"/>
      <c r="Q2" s="6"/>
    </row>
    <row r="3" s="1" customFormat="1" ht="15.75" customHeight="1" spans="1:26">
      <c r="A3" s="2" t="s">
        <v>2</v>
      </c>
      <c r="B3" s="6" t="s">
        <v>3</v>
      </c>
      <c r="C3" s="4"/>
      <c r="D3" s="4"/>
      <c r="E3" s="2" t="s">
        <v>4</v>
      </c>
      <c r="F3" s="2"/>
      <c r="G3" s="2"/>
      <c r="H3" s="2"/>
      <c r="I3" s="2"/>
      <c r="J3" s="2"/>
      <c r="K3" s="2"/>
      <c r="L3" s="7" t="s">
        <v>3</v>
      </c>
      <c r="M3" s="7"/>
      <c r="N3" s="7"/>
      <c r="O3" s="7"/>
      <c r="P3" s="7"/>
      <c r="Q3" s="7"/>
    </row>
    <row r="4" s="1" customFormat="1" ht="15.75" customHeight="1" spans="1:26">
      <c r="A4" s="2" t="s">
        <v>5</v>
      </c>
      <c r="B4" s="6"/>
      <c r="C4" s="6"/>
      <c r="D4" s="6"/>
      <c r="E4" s="2" t="s">
        <v>6</v>
      </c>
      <c r="F4" s="2"/>
      <c r="G4" s="2"/>
      <c r="H4" s="2"/>
      <c r="I4" s="2"/>
      <c r="J4" s="2"/>
      <c r="K4" s="2"/>
      <c r="L4" s="6">
        <v>0</v>
      </c>
      <c r="M4" s="6"/>
      <c r="N4" s="6"/>
      <c r="O4" s="6"/>
      <c r="P4" s="6"/>
      <c r="Q4" s="6"/>
    </row>
    <row r="5" s="1" customFormat="1" ht="55" customHeight="1" spans="1:26">
      <c r="A5" s="2" t="s">
        <v>7</v>
      </c>
      <c r="B5" s="36" t="s">
        <v>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="1" customFormat="1" ht="15.75" customHeight="1" spans="1:26">
      <c r="A6" s="9" t="s">
        <v>9</v>
      </c>
      <c r="B6" s="9" t="s">
        <v>10</v>
      </c>
      <c r="C6" s="9"/>
      <c r="D6" s="9"/>
      <c r="E6" s="9" t="s">
        <v>11</v>
      </c>
      <c r="F6" s="9"/>
      <c r="G6" s="9"/>
      <c r="H6" s="9"/>
      <c r="I6" s="9" t="s">
        <v>12</v>
      </c>
      <c r="J6" s="9"/>
      <c r="K6" s="9"/>
      <c r="L6" s="9" t="s">
        <v>13</v>
      </c>
      <c r="M6" s="9"/>
      <c r="N6" s="9"/>
      <c r="O6" s="9"/>
      <c r="P6" s="9"/>
      <c r="Q6" s="9"/>
    </row>
    <row r="7" s="1" customFormat="1" ht="15.75" customHeight="1" spans="1:26">
      <c r="A7" s="6">
        <f>COUNTIF(E42:Q42,"p")</f>
        <v>2</v>
      </c>
      <c r="B7" s="6">
        <f>COUNTIF(E42:Q42,"f*")</f>
        <v>11</v>
      </c>
      <c r="C7" s="6"/>
      <c r="D7" s="6"/>
      <c r="E7" s="6">
        <f>L7-A7-B7</f>
        <v>0</v>
      </c>
      <c r="F7" s="6"/>
      <c r="G7" s="6"/>
      <c r="H7" s="6"/>
      <c r="I7" s="6">
        <f>COUNTIF(E41:Q41,"N")</f>
        <v>5</v>
      </c>
      <c r="J7" s="6">
        <f>COUNTIF(E41:Q41,"A")</f>
        <v>0</v>
      </c>
      <c r="K7" s="6">
        <f>COUNTIF(E41:Q41,"B")</f>
        <v>8</v>
      </c>
      <c r="L7" s="6">
        <f>COUNTA(E41:Q41)</f>
        <v>13</v>
      </c>
      <c r="M7" s="6"/>
      <c r="N7" s="6"/>
      <c r="O7" s="6"/>
      <c r="P7" s="6"/>
      <c r="Q7" s="6"/>
    </row>
    <row r="9" s="1" customFormat="1" ht="67.5" customHeight="1" spans="1:26">
      <c r="A9" s="10"/>
      <c r="B9" s="10"/>
      <c r="C9" s="10"/>
      <c r="D9" s="10"/>
      <c r="E9" s="11" t="s">
        <v>14</v>
      </c>
      <c r="F9" s="11" t="s">
        <v>15</v>
      </c>
      <c r="G9" s="11" t="s">
        <v>16</v>
      </c>
      <c r="H9" s="11" t="s">
        <v>17</v>
      </c>
      <c r="I9" s="11" t="s">
        <v>18</v>
      </c>
      <c r="J9" s="11" t="s">
        <v>19</v>
      </c>
      <c r="K9" s="11" t="s">
        <v>20</v>
      </c>
      <c r="L9" s="11" t="s">
        <v>21</v>
      </c>
      <c r="M9" s="11" t="s">
        <v>22</v>
      </c>
      <c r="N9" s="11" t="s">
        <v>23</v>
      </c>
      <c r="O9" s="11" t="s">
        <v>24</v>
      </c>
      <c r="P9" s="11" t="s">
        <v>25</v>
      </c>
      <c r="Q9" s="11" t="s">
        <v>26</v>
      </c>
    </row>
    <row r="10" s="1" customFormat="1" ht="15.75" customHeight="1" spans="1:26">
      <c r="A10" s="12" t="s">
        <v>27</v>
      </c>
      <c r="B10" s="2" t="s">
        <v>28</v>
      </c>
      <c r="C10" s="2"/>
      <c r="D10" s="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="1" customFormat="1" ht="15.75" customHeight="1" spans="1:26">
      <c r="A11" s="12"/>
      <c r="B11" s="14" t="s">
        <v>29</v>
      </c>
      <c r="C11" s="14"/>
      <c r="D11" s="14"/>
      <c r="E11" s="15" t="s">
        <v>30</v>
      </c>
      <c r="F11" s="15" t="s">
        <v>30</v>
      </c>
      <c r="G11" s="15" t="s">
        <v>30</v>
      </c>
      <c r="H11" s="15" t="s">
        <v>30</v>
      </c>
      <c r="I11" s="15" t="s">
        <v>30</v>
      </c>
      <c r="J11" s="15"/>
      <c r="K11" s="15" t="s">
        <v>30</v>
      </c>
      <c r="L11" s="15" t="s">
        <v>30</v>
      </c>
      <c r="M11" s="15" t="s">
        <v>30</v>
      </c>
      <c r="N11" s="15" t="s">
        <v>30</v>
      </c>
      <c r="O11" s="37" t="s">
        <v>30</v>
      </c>
      <c r="P11" s="37" t="s">
        <v>30</v>
      </c>
      <c r="Q11" s="15" t="s">
        <v>30</v>
      </c>
    </row>
    <row r="12" s="1" customFormat="1" ht="15.75" customHeight="1" spans="1:26">
      <c r="A12" s="12"/>
      <c r="B12" s="14" t="s">
        <v>31</v>
      </c>
      <c r="C12" s="14"/>
      <c r="D12" s="14"/>
      <c r="E12" s="13"/>
      <c r="F12" s="13"/>
      <c r="G12" s="13"/>
      <c r="H12" s="37"/>
      <c r="I12" s="37"/>
      <c r="J12" s="37" t="s">
        <v>30</v>
      </c>
      <c r="K12" s="37"/>
      <c r="L12" s="37"/>
      <c r="M12" s="37"/>
      <c r="N12" s="37"/>
      <c r="O12" s="15"/>
      <c r="P12" s="37"/>
      <c r="Q12" s="37"/>
    </row>
    <row r="13" s="1" customFormat="1" ht="15.75" customHeight="1" spans="1:26">
      <c r="A13" s="12"/>
      <c r="B13" s="2" t="s">
        <v>32</v>
      </c>
      <c r="C13" s="2"/>
      <c r="D13" s="2"/>
      <c r="E13" s="13"/>
      <c r="F13" s="13"/>
      <c r="G13" s="13"/>
      <c r="H13" s="37"/>
      <c r="I13" s="37"/>
      <c r="J13" s="37"/>
      <c r="K13" s="37"/>
      <c r="L13" s="37"/>
      <c r="M13" s="37"/>
      <c r="N13" s="37"/>
      <c r="O13" s="37"/>
      <c r="P13" s="37"/>
      <c r="Q13" s="37"/>
    </row>
    <row r="14" s="1" customFormat="1" ht="15.75" customHeight="1" spans="1:26">
      <c r="A14" s="12"/>
      <c r="B14" s="14">
        <v>3</v>
      </c>
      <c r="C14" s="14"/>
      <c r="D14" s="14"/>
      <c r="E14" s="15" t="s">
        <v>30</v>
      </c>
      <c r="F14" s="16" t="s">
        <v>30</v>
      </c>
      <c r="G14" s="15" t="s">
        <v>30</v>
      </c>
      <c r="H14" s="15"/>
      <c r="I14" s="37"/>
      <c r="J14" s="15"/>
      <c r="K14" s="37"/>
      <c r="L14" s="37"/>
      <c r="M14" s="13"/>
      <c r="N14" s="13"/>
      <c r="O14" s="13"/>
      <c r="P14" s="13"/>
      <c r="Q14" s="15"/>
      <c r="S14" s="23"/>
      <c r="T14" s="23"/>
      <c r="U14" s="23"/>
      <c r="V14" s="23"/>
      <c r="W14" s="23"/>
      <c r="X14" s="23"/>
      <c r="Y14" s="23"/>
      <c r="Z14" s="23"/>
    </row>
    <row r="15" s="1" customFormat="1" ht="15.75" customHeight="1" spans="1:26">
      <c r="A15" s="12"/>
      <c r="B15" s="14">
        <v>-2</v>
      </c>
      <c r="C15" s="14"/>
      <c r="D15" s="14"/>
      <c r="E15" s="13"/>
      <c r="F15" s="15"/>
      <c r="G15" s="37"/>
      <c r="H15" s="16" t="s">
        <v>30</v>
      </c>
      <c r="I15" s="37"/>
      <c r="J15" s="37"/>
      <c r="K15" s="37"/>
      <c r="L15" s="13"/>
      <c r="M15" s="13"/>
      <c r="N15" s="13"/>
      <c r="O15" s="13"/>
      <c r="P15" s="13"/>
      <c r="Q15" s="13"/>
    </row>
    <row r="16" s="1" customFormat="1" ht="15" customHeight="1" spans="1:26">
      <c r="A16" s="12"/>
      <c r="B16" s="14">
        <v>5</v>
      </c>
      <c r="C16" s="14"/>
      <c r="D16" s="14"/>
      <c r="E16" s="13"/>
      <c r="F16" s="37"/>
      <c r="G16" s="37"/>
      <c r="H16" s="37"/>
      <c r="I16" s="15" t="s">
        <v>30</v>
      </c>
      <c r="J16" s="37"/>
      <c r="K16" s="37"/>
      <c r="L16" s="13"/>
      <c r="M16" s="13"/>
      <c r="N16" s="13"/>
      <c r="O16" s="13"/>
      <c r="P16" s="13"/>
      <c r="Q16" s="13"/>
      <c r="T16" s="38" t="s">
        <v>27</v>
      </c>
      <c r="U16" s="39" t="s">
        <v>33</v>
      </c>
      <c r="V16" s="40" t="s">
        <v>34</v>
      </c>
      <c r="W16" s="39" t="s">
        <v>35</v>
      </c>
      <c r="X16" s="39" t="s">
        <v>36</v>
      </c>
    </row>
    <row r="17" s="1" customFormat="1" ht="15.75" customHeight="1" spans="1:26">
      <c r="A17" s="12"/>
      <c r="B17" s="14">
        <v>0</v>
      </c>
      <c r="C17" s="14"/>
      <c r="D17" s="14"/>
      <c r="E17" s="13"/>
      <c r="F17" s="37"/>
      <c r="G17" s="37"/>
      <c r="H17" s="37"/>
      <c r="I17" s="37"/>
      <c r="J17" s="16" t="s">
        <v>30</v>
      </c>
      <c r="K17" s="15" t="s">
        <v>30</v>
      </c>
      <c r="L17" s="13"/>
      <c r="M17" s="13"/>
      <c r="N17" s="13"/>
      <c r="O17" s="15"/>
      <c r="P17" s="13"/>
      <c r="Q17" s="13"/>
      <c r="S17" s="24"/>
      <c r="T17" s="41" t="s">
        <v>28</v>
      </c>
      <c r="U17" s="41" t="s">
        <v>37</v>
      </c>
      <c r="V17" s="41" t="s">
        <v>38</v>
      </c>
      <c r="W17" s="41" t="s">
        <v>39</v>
      </c>
      <c r="X17" s="41" t="s">
        <v>40</v>
      </c>
      <c r="Y17" s="24"/>
      <c r="Z17" s="24"/>
    </row>
    <row r="18" s="1" customFormat="1" ht="15" customHeight="1" spans="1:26">
      <c r="A18" s="12"/>
      <c r="B18" s="20">
        <v>1</v>
      </c>
      <c r="C18" s="21"/>
      <c r="D18" s="22"/>
      <c r="E18" s="13"/>
      <c r="F18" s="13"/>
      <c r="G18" s="13"/>
      <c r="H18" s="13"/>
      <c r="I18" s="13"/>
      <c r="J18" s="13"/>
      <c r="K18" s="13"/>
      <c r="L18" s="15" t="s">
        <v>30</v>
      </c>
      <c r="M18" s="13"/>
      <c r="N18" s="13"/>
      <c r="O18" s="13"/>
      <c r="P18" s="15"/>
      <c r="Q18" s="13"/>
      <c r="S18" s="24"/>
      <c r="T18" s="42" t="s">
        <v>41</v>
      </c>
      <c r="U18" s="41" t="s">
        <v>42</v>
      </c>
      <c r="V18" s="41" t="s">
        <v>43</v>
      </c>
      <c r="W18" s="41">
        <v>0</v>
      </c>
      <c r="X18" s="41">
        <v>-1</v>
      </c>
      <c r="Y18" s="24"/>
      <c r="Z18" s="24"/>
    </row>
    <row r="19" s="1" customFormat="1" ht="15" customHeight="1" spans="1:26">
      <c r="A19" s="12"/>
      <c r="B19" s="20">
        <v>4</v>
      </c>
      <c r="C19" s="21"/>
      <c r="D19" s="22"/>
      <c r="E19" s="13"/>
      <c r="F19" s="13"/>
      <c r="G19" s="13"/>
      <c r="H19" s="13"/>
      <c r="I19" s="13"/>
      <c r="J19" s="13"/>
      <c r="K19" s="13"/>
      <c r="L19" s="15"/>
      <c r="M19" s="16" t="s">
        <v>30</v>
      </c>
      <c r="N19" s="16"/>
      <c r="O19" s="16"/>
      <c r="P19" s="15"/>
      <c r="Q19" s="16" t="s">
        <v>30</v>
      </c>
      <c r="S19" s="24"/>
      <c r="T19" s="42"/>
      <c r="U19" s="41"/>
      <c r="V19" s="41"/>
      <c r="W19" s="41"/>
      <c r="X19" s="41"/>
      <c r="Y19" s="24"/>
      <c r="Z19" s="24"/>
    </row>
    <row r="20" s="1" customFormat="1" ht="15.75" customHeight="1" spans="1:26">
      <c r="A20" s="12"/>
      <c r="B20" s="14">
        <v>2</v>
      </c>
      <c r="C20" s="14"/>
      <c r="D20" s="14"/>
      <c r="E20" s="13"/>
      <c r="F20" s="13"/>
      <c r="G20" s="13"/>
      <c r="H20" s="13"/>
      <c r="I20" s="13"/>
      <c r="J20" s="13"/>
      <c r="K20" s="13"/>
      <c r="L20" s="13"/>
      <c r="M20" s="15"/>
      <c r="N20" s="16" t="s">
        <v>30</v>
      </c>
      <c r="O20" s="16" t="s">
        <v>30</v>
      </c>
      <c r="P20" s="16"/>
      <c r="Q20" s="16"/>
      <c r="S20" s="24"/>
      <c r="T20" s="42"/>
      <c r="U20" s="41"/>
      <c r="V20" s="41" t="s">
        <v>44</v>
      </c>
      <c r="W20" s="41" t="s">
        <v>45</v>
      </c>
      <c r="X20" s="41" t="s">
        <v>28</v>
      </c>
      <c r="Y20" s="24"/>
      <c r="Z20" s="24"/>
    </row>
    <row r="21" s="1" customFormat="1" ht="15" customHeight="1" spans="1:26">
      <c r="A21" s="12"/>
      <c r="B21" s="14">
        <v>-1</v>
      </c>
      <c r="C21" s="14"/>
      <c r="D21" s="14"/>
      <c r="E21" s="13"/>
      <c r="F21" s="13"/>
      <c r="G21" s="13"/>
      <c r="H21" s="13"/>
      <c r="I21" s="13"/>
      <c r="J21" s="13"/>
      <c r="K21" s="13"/>
      <c r="L21" s="13"/>
      <c r="M21" s="16"/>
      <c r="N21" s="16"/>
      <c r="O21" s="16"/>
      <c r="P21" s="16" t="s">
        <v>30</v>
      </c>
      <c r="Q21" s="16"/>
      <c r="S21" s="24"/>
      <c r="T21" s="42"/>
      <c r="U21" s="41"/>
      <c r="V21" s="41" t="s">
        <v>46</v>
      </c>
      <c r="W21" s="41" t="s">
        <v>47</v>
      </c>
      <c r="X21" s="41" t="s">
        <v>48</v>
      </c>
      <c r="Y21" s="24"/>
      <c r="Z21" s="24"/>
    </row>
    <row r="22" s="1" customFormat="1" ht="15" customHeight="1" spans="1:26">
      <c r="A22" s="12"/>
      <c r="B22" s="14"/>
      <c r="C22" s="14"/>
      <c r="D22" s="14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S22" s="24"/>
      <c r="T22" s="42"/>
      <c r="U22" s="41"/>
      <c r="V22" s="41" t="s">
        <v>49</v>
      </c>
      <c r="W22" s="41"/>
      <c r="X22" s="41"/>
      <c r="Y22" s="24"/>
      <c r="Z22" s="24"/>
    </row>
    <row r="23" s="1" customFormat="1" ht="15.75" customHeight="1" spans="1:26">
      <c r="A23" s="12"/>
      <c r="B23" s="2" t="s">
        <v>41</v>
      </c>
      <c r="C23" s="2"/>
      <c r="D23" s="2"/>
      <c r="E23" s="15"/>
      <c r="F23" s="15"/>
      <c r="G23" s="13"/>
      <c r="H23" s="13"/>
      <c r="I23" s="15"/>
      <c r="J23" s="13"/>
      <c r="K23" s="13"/>
      <c r="L23" s="15"/>
      <c r="M23" s="15"/>
      <c r="N23" s="15"/>
      <c r="O23" s="13"/>
      <c r="P23" s="13"/>
      <c r="Q23" s="13"/>
      <c r="S23" s="24"/>
      <c r="T23" s="24"/>
      <c r="U23" s="24"/>
      <c r="V23" s="24"/>
      <c r="W23" s="24"/>
      <c r="X23" s="24"/>
      <c r="Y23" s="24"/>
      <c r="Z23" s="24"/>
    </row>
    <row r="24" s="1" customFormat="1" ht="15.75" customHeight="1" spans="1:26">
      <c r="A24" s="12"/>
      <c r="B24" s="14">
        <v>1</v>
      </c>
      <c r="C24" s="14"/>
      <c r="D24" s="14"/>
      <c r="E24" s="16" t="s">
        <v>30</v>
      </c>
      <c r="F24" s="16"/>
      <c r="G24" s="15"/>
      <c r="H24" s="16"/>
      <c r="I24" s="16"/>
      <c r="J24" s="16"/>
      <c r="K24" s="16"/>
      <c r="L24" s="16"/>
      <c r="M24" s="16"/>
      <c r="N24" s="16"/>
      <c r="O24" s="16"/>
      <c r="P24" s="16"/>
      <c r="Q24" s="16"/>
      <c r="S24" s="24"/>
      <c r="T24" s="24"/>
      <c r="U24" s="24"/>
      <c r="V24" s="24"/>
      <c r="W24" s="24"/>
      <c r="X24" s="24"/>
      <c r="Y24" s="24"/>
      <c r="Z24" s="24"/>
    </row>
    <row r="25" s="1" customFormat="1" ht="15.75" customHeight="1" spans="1:26">
      <c r="A25" s="12"/>
      <c r="B25" s="14">
        <v>-2</v>
      </c>
      <c r="C25" s="14"/>
      <c r="D25" s="14"/>
      <c r="E25" s="16"/>
      <c r="F25" s="16" t="s">
        <v>30</v>
      </c>
      <c r="G25" s="16"/>
      <c r="H25" s="15"/>
      <c r="I25" s="16"/>
      <c r="J25" s="16"/>
      <c r="K25" s="16"/>
      <c r="L25" s="16"/>
      <c r="M25" s="16"/>
      <c r="N25" s="16"/>
      <c r="O25" s="16"/>
      <c r="P25" s="16"/>
      <c r="Q25" s="16"/>
      <c r="S25" s="24"/>
      <c r="T25" s="24"/>
      <c r="U25" s="24"/>
      <c r="V25" s="24"/>
      <c r="W25" s="24"/>
      <c r="X25" s="24"/>
      <c r="Y25" s="24"/>
      <c r="Z25" s="24"/>
    </row>
    <row r="26" s="1" customFormat="1" ht="15" customHeight="1" spans="1:26">
      <c r="A26" s="12"/>
      <c r="B26" s="14">
        <v>7</v>
      </c>
      <c r="C26" s="14"/>
      <c r="D26" s="14"/>
      <c r="E26" s="16"/>
      <c r="F26" s="16"/>
      <c r="G26" s="16" t="s">
        <v>30</v>
      </c>
      <c r="H26" s="16"/>
      <c r="I26" s="16"/>
      <c r="J26" s="15"/>
      <c r="K26" s="16"/>
      <c r="L26" s="16"/>
      <c r="M26" s="16"/>
      <c r="N26" s="16"/>
      <c r="O26" s="15"/>
      <c r="P26" s="15"/>
      <c r="Q26" s="16"/>
      <c r="S26" s="24"/>
      <c r="T26" s="24"/>
      <c r="U26" s="24"/>
      <c r="V26" s="24"/>
      <c r="W26" s="24"/>
      <c r="X26" s="24"/>
      <c r="Y26" s="24"/>
      <c r="Z26" s="24"/>
    </row>
    <row r="27" s="1" customFormat="1" ht="15.75" customHeight="1" spans="1:26">
      <c r="A27" s="12"/>
      <c r="B27" s="14">
        <v>4</v>
      </c>
      <c r="C27" s="14"/>
      <c r="D27" s="14"/>
      <c r="E27" s="16"/>
      <c r="F27" s="16"/>
      <c r="G27" s="16"/>
      <c r="H27" s="16" t="s">
        <v>30</v>
      </c>
      <c r="I27" s="16"/>
      <c r="J27" s="16"/>
      <c r="K27" s="15"/>
      <c r="L27" s="16"/>
      <c r="M27" s="16"/>
      <c r="N27" s="16"/>
      <c r="O27" s="16"/>
      <c r="P27" s="16"/>
      <c r="Q27" s="16"/>
      <c r="S27" s="24"/>
      <c r="T27" s="24"/>
      <c r="U27" s="24"/>
      <c r="V27" s="24"/>
      <c r="W27" s="24"/>
      <c r="X27" s="24"/>
      <c r="Y27" s="24"/>
      <c r="Z27" s="24"/>
    </row>
    <row r="28" s="1" customFormat="1" ht="15" customHeight="1" spans="1:26">
      <c r="A28" s="12"/>
      <c r="B28" s="14">
        <v>2</v>
      </c>
      <c r="C28" s="14"/>
      <c r="D28" s="14"/>
      <c r="E28" s="16"/>
      <c r="F28" s="16"/>
      <c r="G28" s="16"/>
      <c r="H28" s="16"/>
      <c r="I28" s="16" t="s">
        <v>30</v>
      </c>
      <c r="J28" s="16"/>
      <c r="K28" s="16"/>
      <c r="L28" s="16"/>
      <c r="M28" s="16" t="s">
        <v>30</v>
      </c>
      <c r="N28" s="16"/>
      <c r="O28" s="16"/>
      <c r="P28" s="16"/>
      <c r="Q28" s="15"/>
      <c r="S28" s="24"/>
      <c r="T28" s="24"/>
      <c r="U28" s="24"/>
      <c r="V28" s="24"/>
      <c r="W28" s="24"/>
      <c r="X28" s="24"/>
      <c r="Y28" s="24"/>
      <c r="Z28" s="24"/>
    </row>
    <row r="29" s="1" customFormat="1" ht="15.75" customHeight="1" spans="1:26">
      <c r="A29" s="12"/>
      <c r="B29" s="14">
        <v>0</v>
      </c>
      <c r="C29" s="14"/>
      <c r="D29" s="14"/>
      <c r="E29" s="16"/>
      <c r="F29" s="16"/>
      <c r="G29" s="16"/>
      <c r="H29" s="16"/>
      <c r="I29" s="16"/>
      <c r="J29" s="16" t="s">
        <v>30</v>
      </c>
      <c r="K29" s="16" t="s">
        <v>30</v>
      </c>
      <c r="L29" s="16"/>
      <c r="M29" s="16"/>
      <c r="N29" s="16"/>
      <c r="O29" s="16"/>
      <c r="P29" s="16"/>
      <c r="Q29" s="16"/>
      <c r="S29" s="24"/>
      <c r="T29" s="24"/>
      <c r="U29" s="24"/>
      <c r="V29" s="24"/>
      <c r="W29" s="24"/>
      <c r="X29" s="24"/>
      <c r="Y29" s="24"/>
      <c r="Z29" s="24"/>
    </row>
    <row r="30" s="1" customFormat="1" ht="15" customHeight="1" spans="1:26">
      <c r="A30" s="12"/>
      <c r="B30" s="14">
        <v>5</v>
      </c>
      <c r="C30" s="14"/>
      <c r="D30" s="14"/>
      <c r="E30" s="16"/>
      <c r="F30" s="16"/>
      <c r="G30" s="16"/>
      <c r="H30" s="16"/>
      <c r="I30" s="16"/>
      <c r="J30" s="16"/>
      <c r="K30" s="16"/>
      <c r="L30" s="16" t="s">
        <v>30</v>
      </c>
      <c r="M30" s="16"/>
      <c r="N30" s="16"/>
      <c r="O30" s="16"/>
      <c r="P30" s="16"/>
      <c r="Q30" s="16"/>
      <c r="S30" s="24"/>
      <c r="T30" s="24"/>
      <c r="U30" s="24"/>
      <c r="V30" s="24"/>
      <c r="W30" s="24"/>
      <c r="X30" s="24"/>
      <c r="Y30" s="24"/>
      <c r="Z30" s="24"/>
    </row>
    <row r="31" s="1" customFormat="1" ht="15.75" customHeight="1" spans="1:26">
      <c r="A31" s="12"/>
      <c r="B31" s="20">
        <v>-1</v>
      </c>
      <c r="C31" s="21"/>
      <c r="D31" s="22"/>
      <c r="E31" s="16"/>
      <c r="F31" s="16"/>
      <c r="G31" s="16"/>
      <c r="H31" s="16"/>
      <c r="I31" s="16"/>
      <c r="J31" s="16"/>
      <c r="K31" s="16"/>
      <c r="L31" s="16"/>
      <c r="M31" s="16"/>
      <c r="N31" s="16" t="s">
        <v>30</v>
      </c>
      <c r="O31" s="16"/>
      <c r="P31" s="16"/>
      <c r="Q31" s="16"/>
      <c r="S31" s="24"/>
      <c r="T31" s="24"/>
      <c r="U31" s="24"/>
      <c r="V31" s="24"/>
      <c r="W31" s="24"/>
      <c r="X31" s="24"/>
      <c r="Y31" s="24"/>
      <c r="Z31" s="24"/>
    </row>
    <row r="32" s="1" customFormat="1" ht="15.75" customHeight="1" spans="1:26">
      <c r="A32" s="12"/>
      <c r="B32" s="14">
        <v>6</v>
      </c>
      <c r="C32" s="14"/>
      <c r="D32" s="14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 t="s">
        <v>30</v>
      </c>
      <c r="P32" s="16"/>
      <c r="Q32" s="16"/>
      <c r="S32" s="24"/>
      <c r="T32" s="24"/>
      <c r="U32" s="24"/>
      <c r="V32" s="24"/>
      <c r="W32" s="24"/>
      <c r="X32" s="24"/>
      <c r="Y32" s="24"/>
      <c r="Z32" s="24"/>
    </row>
    <row r="33" s="1" customFormat="1" ht="15.75" customHeight="1" spans="1:26">
      <c r="A33" s="12" t="s">
        <v>50</v>
      </c>
      <c r="B33" s="20">
        <v>3</v>
      </c>
      <c r="C33" s="21"/>
      <c r="D33" s="22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 t="s">
        <v>30</v>
      </c>
      <c r="Q33" s="16" t="s">
        <v>30</v>
      </c>
      <c r="S33" s="24"/>
      <c r="T33" s="24"/>
      <c r="U33" s="24"/>
      <c r="V33" s="24"/>
      <c r="W33" s="24"/>
      <c r="X33" s="24"/>
      <c r="Y33" s="24"/>
      <c r="Z33" s="24"/>
    </row>
    <row r="34" s="1" customFormat="1" ht="15.75" customHeight="1" spans="1:26">
      <c r="A34" s="12"/>
      <c r="B34" s="2" t="s">
        <v>51</v>
      </c>
      <c r="C34" s="2"/>
      <c r="D34" s="2"/>
      <c r="E34" s="15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S34" s="24"/>
      <c r="T34" s="24"/>
      <c r="U34" s="24"/>
      <c r="V34" s="24"/>
      <c r="W34" s="24"/>
      <c r="X34" s="24"/>
      <c r="Y34" s="24"/>
      <c r="Z34" s="24"/>
    </row>
    <row r="35" s="1" customFormat="1" ht="15" customHeight="1" spans="1:26">
      <c r="A35" s="12"/>
      <c r="B35" s="14" t="s">
        <v>52</v>
      </c>
      <c r="C35" s="14"/>
      <c r="D35" s="14"/>
      <c r="E35" s="25" t="s">
        <v>30</v>
      </c>
      <c r="F35" s="43"/>
      <c r="G35" s="25"/>
      <c r="H35" s="25"/>
      <c r="I35" s="25"/>
      <c r="J35" s="25"/>
      <c r="K35" s="25"/>
      <c r="L35" s="25"/>
      <c r="M35" s="43"/>
      <c r="N35" s="43"/>
      <c r="O35" s="25"/>
      <c r="P35" s="25"/>
      <c r="Q35" s="25"/>
      <c r="S35" s="24"/>
      <c r="T35" s="24"/>
      <c r="U35" s="24"/>
      <c r="V35" s="24"/>
      <c r="W35" s="24"/>
      <c r="X35" s="24"/>
      <c r="Y35" s="24"/>
      <c r="Z35" s="24"/>
    </row>
    <row r="36" s="1" customFormat="1" ht="15.75" customHeight="1" spans="1:26">
      <c r="A36" s="12"/>
      <c r="B36" s="14" t="s">
        <v>29</v>
      </c>
      <c r="C36" s="14"/>
      <c r="D36" s="14"/>
      <c r="E36" s="25"/>
      <c r="F36" s="25" t="s">
        <v>30</v>
      </c>
      <c r="G36" s="43" t="s">
        <v>30</v>
      </c>
      <c r="H36" s="43" t="s">
        <v>30</v>
      </c>
      <c r="I36" s="43" t="s">
        <v>30</v>
      </c>
      <c r="J36" s="25"/>
      <c r="K36" s="25" t="s">
        <v>30</v>
      </c>
      <c r="L36" s="43"/>
      <c r="M36" s="25"/>
      <c r="N36" s="25" t="s">
        <v>30</v>
      </c>
      <c r="O36" s="25" t="s">
        <v>30</v>
      </c>
      <c r="P36" s="25" t="s">
        <v>30</v>
      </c>
      <c r="Q36" s="43" t="s">
        <v>30</v>
      </c>
      <c r="S36" s="24"/>
      <c r="T36" s="24"/>
      <c r="U36" s="24"/>
      <c r="V36" s="24"/>
      <c r="W36" s="24"/>
      <c r="X36" s="24"/>
      <c r="Y36" s="24"/>
      <c r="Z36" s="24"/>
    </row>
    <row r="37" s="1" customFormat="1" ht="15.75" customHeight="1" spans="1:26">
      <c r="A37" s="12"/>
      <c r="B37" s="14" t="s">
        <v>31</v>
      </c>
      <c r="C37" s="14"/>
      <c r="D37" s="14"/>
      <c r="E37" s="25"/>
      <c r="F37" s="25"/>
      <c r="G37" s="25"/>
      <c r="H37" s="25"/>
      <c r="I37" s="25"/>
      <c r="J37" s="43" t="s">
        <v>30</v>
      </c>
      <c r="K37" s="25"/>
      <c r="L37" s="25"/>
      <c r="M37" s="25"/>
      <c r="N37" s="25"/>
      <c r="O37" s="25"/>
      <c r="P37" s="25"/>
      <c r="Q37" s="25"/>
    </row>
    <row r="38" s="1" customFormat="1" ht="15.75" customHeight="1" spans="1:26">
      <c r="A38" s="12"/>
      <c r="B38" s="14" t="s">
        <v>53</v>
      </c>
      <c r="C38" s="14"/>
      <c r="D38" s="14"/>
      <c r="E38" s="25"/>
      <c r="F38" s="25"/>
      <c r="G38" s="25"/>
      <c r="H38" s="25"/>
      <c r="I38" s="25"/>
      <c r="J38" s="25"/>
      <c r="K38" s="43"/>
      <c r="L38" s="25" t="s">
        <v>30</v>
      </c>
      <c r="M38" s="25"/>
      <c r="N38" s="25"/>
      <c r="O38" s="25"/>
      <c r="P38" s="25"/>
      <c r="Q38" s="25"/>
    </row>
    <row r="39" s="1" customFormat="1" ht="15.75" customHeight="1" spans="1:26">
      <c r="A39" s="12"/>
      <c r="B39" s="14" t="s">
        <v>54</v>
      </c>
      <c r="C39" s="14"/>
      <c r="D39" s="14"/>
      <c r="E39" s="25"/>
      <c r="F39" s="25"/>
      <c r="G39" s="25"/>
      <c r="H39" s="25"/>
      <c r="I39" s="25"/>
      <c r="J39" s="25"/>
      <c r="K39" s="25"/>
      <c r="L39" s="25"/>
      <c r="M39" s="25" t="s">
        <v>30</v>
      </c>
      <c r="N39" s="25"/>
      <c r="O39" s="25"/>
      <c r="P39" s="25"/>
      <c r="Q39" s="25"/>
    </row>
    <row r="40" s="1" customFormat="1" ht="15.75" customHeight="1" spans="1:26">
      <c r="A40" s="12"/>
      <c r="B40" s="2" t="s">
        <v>55</v>
      </c>
      <c r="C40" s="2"/>
      <c r="D40" s="2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</row>
    <row r="41" s="1" customFormat="1" ht="15.75" customHeight="1" spans="1:26">
      <c r="A41" s="12"/>
      <c r="B41" s="27" t="s">
        <v>56</v>
      </c>
      <c r="C41" s="27"/>
      <c r="D41" s="27"/>
      <c r="E41" s="13" t="s">
        <v>57</v>
      </c>
      <c r="F41" s="13" t="s">
        <v>57</v>
      </c>
      <c r="G41" s="13" t="s">
        <v>57</v>
      </c>
      <c r="H41" s="13" t="s">
        <v>57</v>
      </c>
      <c r="I41" s="13" t="s">
        <v>57</v>
      </c>
      <c r="J41" s="13" t="s">
        <v>58</v>
      </c>
      <c r="K41" s="13" t="s">
        <v>58</v>
      </c>
      <c r="L41" s="13" t="s">
        <v>58</v>
      </c>
      <c r="M41" s="13" t="s">
        <v>58</v>
      </c>
      <c r="N41" s="13" t="s">
        <v>58</v>
      </c>
      <c r="O41" s="13" t="s">
        <v>58</v>
      </c>
      <c r="P41" s="13" t="s">
        <v>58</v>
      </c>
      <c r="Q41" s="13" t="s">
        <v>58</v>
      </c>
    </row>
    <row r="42" s="1" customFormat="1" spans="1:26">
      <c r="A42" s="12"/>
      <c r="B42" s="7" t="s">
        <v>59</v>
      </c>
      <c r="C42" s="7"/>
      <c r="D42" s="7"/>
      <c r="E42" s="28" t="s">
        <v>60</v>
      </c>
      <c r="F42" s="28" t="s">
        <v>60</v>
      </c>
      <c r="G42" s="28" t="s">
        <v>61</v>
      </c>
      <c r="H42" s="28" t="s">
        <v>60</v>
      </c>
      <c r="I42" s="28" t="s">
        <v>60</v>
      </c>
      <c r="J42" s="28" t="s">
        <v>60</v>
      </c>
      <c r="K42" s="28" t="s">
        <v>60</v>
      </c>
      <c r="L42" s="28" t="s">
        <v>60</v>
      </c>
      <c r="M42" s="28" t="s">
        <v>60</v>
      </c>
      <c r="N42" s="28" t="s">
        <v>60</v>
      </c>
      <c r="O42" s="28" t="s">
        <v>61</v>
      </c>
      <c r="P42" s="28" t="s">
        <v>60</v>
      </c>
      <c r="Q42" s="28" t="s">
        <v>60</v>
      </c>
    </row>
    <row r="43" s="1" customFormat="1" ht="30" customHeight="1" spans="1:26">
      <c r="A43" s="12"/>
      <c r="B43" s="7" t="s">
        <v>62</v>
      </c>
      <c r="C43" s="7"/>
      <c r="D43" s="7"/>
      <c r="E43" s="29" t="s">
        <v>63</v>
      </c>
      <c r="F43" s="29" t="s">
        <v>63</v>
      </c>
      <c r="G43" s="29" t="s">
        <v>63</v>
      </c>
      <c r="H43" s="29" t="s">
        <v>63</v>
      </c>
      <c r="I43" s="29" t="s">
        <v>63</v>
      </c>
      <c r="J43" s="29" t="s">
        <v>63</v>
      </c>
      <c r="K43" s="29" t="s">
        <v>63</v>
      </c>
      <c r="L43" s="29" t="s">
        <v>63</v>
      </c>
      <c r="M43" s="29" t="s">
        <v>63</v>
      </c>
      <c r="N43" s="29" t="s">
        <v>63</v>
      </c>
      <c r="O43" s="29" t="s">
        <v>63</v>
      </c>
      <c r="P43" s="29" t="s">
        <v>63</v>
      </c>
      <c r="Q43" s="29" t="s">
        <v>63</v>
      </c>
    </row>
    <row r="44" ht="22.25" spans="1:26">
      <c r="A44" s="45"/>
      <c r="B44" s="7" t="s">
        <v>64</v>
      </c>
      <c r="C44" s="7"/>
      <c r="D44" s="7"/>
      <c r="E44" s="30" t="s">
        <v>65</v>
      </c>
      <c r="F44" s="30" t="s">
        <v>66</v>
      </c>
      <c r="G44" s="30"/>
      <c r="H44" s="31" t="s">
        <v>67</v>
      </c>
      <c r="I44" s="30" t="s">
        <v>68</v>
      </c>
      <c r="J44" s="30" t="s">
        <v>69</v>
      </c>
      <c r="K44" s="30" t="s">
        <v>70</v>
      </c>
      <c r="L44" s="30" t="s">
        <v>71</v>
      </c>
      <c r="M44" s="30" t="s">
        <v>72</v>
      </c>
      <c r="N44" s="30" t="s">
        <v>73</v>
      </c>
      <c r="O44" s="30" t="s">
        <v>74</v>
      </c>
      <c r="P44" s="13"/>
      <c r="Q44" s="30" t="s">
        <v>75</v>
      </c>
    </row>
    <row r="47" s="1" customFormat="1" spans="1:26">
      <c r="B47" s="32" t="s">
        <v>76</v>
      </c>
      <c r="C47" s="33"/>
    </row>
    <row r="48" s="1" customFormat="1" spans="1:26">
      <c r="B48" s="32" t="s">
        <v>63</v>
      </c>
      <c r="C48" s="34">
        <v>46063</v>
      </c>
    </row>
    <row r="49" s="1" customFormat="1" spans="2:3">
      <c r="B49" s="1" t="s">
        <v>65</v>
      </c>
      <c r="C49" s="1" t="s">
        <v>77</v>
      </c>
    </row>
    <row r="50" s="1" customFormat="1" spans="2:3">
      <c r="B50" s="1" t="s">
        <v>66</v>
      </c>
      <c r="C50" s="1" t="s">
        <v>78</v>
      </c>
    </row>
    <row r="51" s="1" customFormat="1" spans="2:3">
      <c r="B51" s="1" t="s">
        <v>67</v>
      </c>
      <c r="C51" s="1" t="s">
        <v>79</v>
      </c>
    </row>
    <row r="52" s="1" customFormat="1" spans="2:3">
      <c r="B52" s="1" t="s">
        <v>68</v>
      </c>
      <c r="C52" s="1" t="s">
        <v>80</v>
      </c>
    </row>
    <row r="53" s="1" customFormat="1" spans="2:3">
      <c r="B53" s="1" t="s">
        <v>69</v>
      </c>
      <c r="C53" s="1" t="s">
        <v>79</v>
      </c>
    </row>
    <row r="54" s="1" customFormat="1" spans="2:3">
      <c r="B54" s="1" t="s">
        <v>70</v>
      </c>
      <c r="C54" s="1" t="s">
        <v>79</v>
      </c>
    </row>
    <row r="55" s="1" customFormat="1" spans="2:3">
      <c r="B55" s="1" t="s">
        <v>71</v>
      </c>
      <c r="C55" s="1" t="s">
        <v>81</v>
      </c>
    </row>
    <row r="56" spans="2:3">
      <c r="B56" s="1" t="s">
        <v>72</v>
      </c>
      <c r="C56" s="1" t="s">
        <v>82</v>
      </c>
    </row>
    <row r="57" spans="2:3">
      <c r="B57" s="1" t="s">
        <v>73</v>
      </c>
      <c r="C57" s="1" t="s">
        <v>83</v>
      </c>
    </row>
    <row r="58" spans="2:3">
      <c r="B58" s="1" t="s">
        <v>74</v>
      </c>
      <c r="C58" s="1" t="s">
        <v>83</v>
      </c>
    </row>
    <row r="59" spans="2:3">
      <c r="B59" s="1" t="s">
        <v>75</v>
      </c>
      <c r="C59" s="1" t="s">
        <v>84</v>
      </c>
    </row>
  </sheetData>
  <mergeCells count="57">
    <mergeCell ref="B2:D2"/>
    <mergeCell ref="E2:K2"/>
    <mergeCell ref="L2:Q2"/>
    <mergeCell ref="B3:D3"/>
    <mergeCell ref="E3:K3"/>
    <mergeCell ref="L3:Q3"/>
    <mergeCell ref="B4:D4"/>
    <mergeCell ref="E4:K4"/>
    <mergeCell ref="L4:Q4"/>
    <mergeCell ref="B5:Q5"/>
    <mergeCell ref="B6:D6"/>
    <mergeCell ref="E6:H6"/>
    <mergeCell ref="I6:K6"/>
    <mergeCell ref="L6:Q6"/>
    <mergeCell ref="B7:D7"/>
    <mergeCell ref="E7:H7"/>
    <mergeCell ref="L7:Q7"/>
    <mergeCell ref="B10:D10"/>
    <mergeCell ref="B11:D11"/>
    <mergeCell ref="B12:D12"/>
    <mergeCell ref="B13:D13"/>
    <mergeCell ref="B14:D14"/>
    <mergeCell ref="S14:Z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A10:A30"/>
    <mergeCell ref="A33:A40"/>
    <mergeCell ref="T18:T20"/>
    <mergeCell ref="T21:T22"/>
  </mergeCells>
  <dataValidations count="1">
    <dataValidation type="list" allowBlank="1" showInputMessage="1" showErrorMessage="1" sqref="E11:N11 Q11 O12 E14 G14:H14 J14 Q14 F15 I16 K17 O17 M20 E23:F23 I23 L23:N23 G24 H25 J26 O26:P26 K27 Q28 E34 L18:L19 P18:P19">
      <formula1>"O, 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Z67"/>
  <sheetViews>
    <sheetView topLeftCell="A46" workbookViewId="0">
      <selection activeCell="T41" sqref="T41"/>
    </sheetView>
  </sheetViews>
  <sheetFormatPr defaultColWidth="7.66666666666667" defaultRowHeight="13.2"/>
  <cols>
    <col min="1" max="1" width="17" style="1" customWidth="1"/>
    <col min="2" max="2" width="9.66666666666667" style="1" customWidth="1"/>
    <col min="3" max="3" width="12.6666666666667" style="1" customWidth="1"/>
    <col min="4" max="4" width="9.66666666666667" style="1" customWidth="1"/>
    <col min="5" max="11" width="4" style="1" customWidth="1"/>
    <col min="12" max="12" width="3.33333333333333" style="1" customWidth="1"/>
    <col min="13" max="17" width="4" style="1" customWidth="1"/>
    <col min="18" max="18" width="2.66666666666667" style="1" customWidth="1"/>
    <col min="19" max="19" width="9.88888888888889" style="1" customWidth="1"/>
    <col min="20" max="20" width="21.6666666666667" style="1" customWidth="1"/>
    <col min="21" max="21" width="14.8888888888889" style="1" customWidth="1"/>
    <col min="22" max="22" width="15.7777777777778" style="1" customWidth="1"/>
    <col min="23" max="23" width="18.1111111111111" style="1" customWidth="1"/>
    <col min="24" max="24" width="42.8888888888889" style="1" customWidth="1"/>
    <col min="25" max="25" width="28" style="1" customWidth="1"/>
    <col min="26" max="26" width="8.77777777777778" style="1" customWidth="1"/>
    <col min="27" max="16384" width="7.66666666666667" style="1"/>
  </cols>
  <sheetData>
    <row r="2" s="1" customFormat="1" ht="15.75" customHeight="1" spans="1:17">
      <c r="A2" s="2" t="s">
        <v>0</v>
      </c>
      <c r="B2" s="3"/>
      <c r="C2" s="4"/>
      <c r="D2" s="4"/>
      <c r="E2" s="2" t="s">
        <v>1</v>
      </c>
      <c r="F2" s="2"/>
      <c r="G2" s="2"/>
      <c r="H2" s="2"/>
      <c r="I2" s="2"/>
      <c r="J2" s="2"/>
      <c r="K2" s="2"/>
      <c r="L2" s="5" t="s">
        <v>85</v>
      </c>
      <c r="M2" s="6"/>
      <c r="N2" s="6"/>
      <c r="O2" s="6"/>
      <c r="P2" s="6"/>
      <c r="Q2" s="6"/>
    </row>
    <row r="3" s="1" customFormat="1" ht="15.75" customHeight="1" spans="1:17">
      <c r="A3" s="2" t="s">
        <v>2</v>
      </c>
      <c r="B3" s="6" t="s">
        <v>3</v>
      </c>
      <c r="C3" s="4"/>
      <c r="D3" s="4"/>
      <c r="E3" s="2" t="s">
        <v>4</v>
      </c>
      <c r="F3" s="2"/>
      <c r="G3" s="2"/>
      <c r="H3" s="2"/>
      <c r="I3" s="2"/>
      <c r="J3" s="2"/>
      <c r="K3" s="2"/>
      <c r="L3" s="7" t="s">
        <v>3</v>
      </c>
      <c r="M3" s="7"/>
      <c r="N3" s="7"/>
      <c r="O3" s="7"/>
      <c r="P3" s="7"/>
      <c r="Q3" s="7"/>
    </row>
    <row r="4" s="1" customFormat="1" ht="15.75" customHeight="1" spans="1:17">
      <c r="A4" s="2" t="s">
        <v>5</v>
      </c>
      <c r="B4" s="6"/>
      <c r="C4" s="6"/>
      <c r="D4" s="6"/>
      <c r="E4" s="2" t="s">
        <v>6</v>
      </c>
      <c r="F4" s="2"/>
      <c r="G4" s="2"/>
      <c r="H4" s="2"/>
      <c r="I4" s="2"/>
      <c r="J4" s="2"/>
      <c r="K4" s="2"/>
      <c r="L4" s="6">
        <v>0</v>
      </c>
      <c r="M4" s="6"/>
      <c r="N4" s="6"/>
      <c r="O4" s="6"/>
      <c r="P4" s="6"/>
      <c r="Q4" s="6"/>
    </row>
    <row r="5" s="1" customFormat="1" ht="71" customHeight="1" spans="1:17">
      <c r="A5" s="2" t="s">
        <v>7</v>
      </c>
      <c r="B5" s="8" t="s">
        <v>86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="1" customFormat="1" ht="15.75" customHeight="1" spans="1:17">
      <c r="A6" s="9" t="s">
        <v>9</v>
      </c>
      <c r="B6" s="9" t="s">
        <v>10</v>
      </c>
      <c r="C6" s="9"/>
      <c r="D6" s="9"/>
      <c r="E6" s="9" t="s">
        <v>11</v>
      </c>
      <c r="F6" s="9"/>
      <c r="G6" s="9"/>
      <c r="H6" s="9"/>
      <c r="I6" s="9" t="s">
        <v>12</v>
      </c>
      <c r="J6" s="9"/>
      <c r="K6" s="9"/>
      <c r="L6" s="9" t="s">
        <v>13</v>
      </c>
      <c r="M6" s="9"/>
      <c r="N6" s="9"/>
      <c r="O6" s="9"/>
      <c r="P6" s="9"/>
      <c r="Q6" s="9"/>
    </row>
    <row r="7" s="1" customFormat="1" ht="15.75" customHeight="1" spans="1:17">
      <c r="A7" s="6">
        <f>COUNTIF(E52:Q52,"P")</f>
        <v>4</v>
      </c>
      <c r="B7" s="6">
        <f>COUNTIF(E52:Q52,"F")</f>
        <v>9</v>
      </c>
      <c r="C7" s="6"/>
      <c r="D7" s="6"/>
      <c r="E7" s="6">
        <f>L7-A7-B7</f>
        <v>0</v>
      </c>
      <c r="F7" s="6"/>
      <c r="G7" s="6"/>
      <c r="H7" s="6"/>
      <c r="I7" s="6">
        <f>COUNTIF(E51:Q51,"N")</f>
        <v>4</v>
      </c>
      <c r="J7" s="6">
        <f>COUNTIF(E51:Q51,"A")</f>
        <v>3</v>
      </c>
      <c r="K7" s="6">
        <f>COUNTIF(E51:Q51,"B")</f>
        <v>6</v>
      </c>
      <c r="L7" s="6">
        <f>COUNTA(E51:Q51)</f>
        <v>13</v>
      </c>
      <c r="M7" s="6"/>
      <c r="N7" s="6"/>
      <c r="O7" s="6"/>
      <c r="P7" s="6"/>
      <c r="Q7" s="6"/>
    </row>
    <row r="9" s="1" customFormat="1" ht="67.5" customHeight="1" spans="1:17">
      <c r="A9" s="10"/>
      <c r="B9" s="10"/>
      <c r="C9" s="10"/>
      <c r="D9" s="10"/>
      <c r="E9" s="11" t="s">
        <v>14</v>
      </c>
      <c r="F9" s="11" t="s">
        <v>15</v>
      </c>
      <c r="G9" s="11" t="s">
        <v>16</v>
      </c>
      <c r="H9" s="11" t="s">
        <v>17</v>
      </c>
      <c r="I9" s="11" t="s">
        <v>18</v>
      </c>
      <c r="J9" s="11" t="s">
        <v>19</v>
      </c>
      <c r="K9" s="11" t="s">
        <v>20</v>
      </c>
      <c r="L9" s="11" t="s">
        <v>21</v>
      </c>
      <c r="M9" s="11" t="s">
        <v>22</v>
      </c>
      <c r="N9" s="11" t="s">
        <v>23</v>
      </c>
      <c r="O9" s="11" t="s">
        <v>24</v>
      </c>
      <c r="P9" s="11" t="s">
        <v>25</v>
      </c>
      <c r="Q9" s="11" t="s">
        <v>26</v>
      </c>
    </row>
    <row r="10" s="1" customFormat="1" ht="15.75" customHeight="1" spans="1:17">
      <c r="A10" s="12" t="s">
        <v>27</v>
      </c>
      <c r="B10" s="2" t="s">
        <v>87</v>
      </c>
      <c r="C10" s="2"/>
      <c r="D10" s="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="1" customFormat="1" ht="15.75" customHeight="1" spans="1:17">
      <c r="A11" s="12"/>
      <c r="B11" s="14" t="s">
        <v>88</v>
      </c>
      <c r="C11" s="14"/>
      <c r="D11" s="14"/>
      <c r="E11" s="15" t="s">
        <v>30</v>
      </c>
      <c r="F11" s="13"/>
      <c r="G11" s="15"/>
      <c r="H11" s="15"/>
      <c r="I11" s="13"/>
      <c r="J11" s="15"/>
      <c r="K11" s="13"/>
      <c r="L11" s="15"/>
      <c r="M11" s="15"/>
      <c r="N11" s="15"/>
      <c r="O11" s="15"/>
      <c r="P11" s="15"/>
      <c r="Q11" s="15"/>
    </row>
    <row r="12" s="1" customFormat="1" ht="15.75" customHeight="1" spans="1:17">
      <c r="A12" s="12"/>
      <c r="B12" s="14" t="s">
        <v>29</v>
      </c>
      <c r="C12" s="14"/>
      <c r="D12" s="14"/>
      <c r="E12" s="13"/>
      <c r="F12" s="15" t="s">
        <v>30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="1" customFormat="1" ht="15.75" customHeight="1" spans="1:17">
      <c r="A13" s="12"/>
      <c r="B13" s="14" t="s">
        <v>89</v>
      </c>
      <c r="C13" s="14"/>
      <c r="D13" s="14"/>
      <c r="E13" s="13"/>
      <c r="F13" s="16"/>
      <c r="G13" s="16" t="s">
        <v>30</v>
      </c>
      <c r="H13" s="16"/>
      <c r="I13" s="15"/>
      <c r="J13" s="16" t="s">
        <v>30</v>
      </c>
      <c r="K13" s="15" t="s">
        <v>30</v>
      </c>
      <c r="L13" s="16"/>
      <c r="M13" s="16"/>
      <c r="N13" s="16" t="s">
        <v>30</v>
      </c>
      <c r="O13" s="16"/>
      <c r="P13" s="16"/>
      <c r="Q13" s="16"/>
    </row>
    <row r="14" s="1" customFormat="1" ht="15.75" customHeight="1" spans="1:17">
      <c r="A14" s="12"/>
      <c r="B14" s="17" t="s">
        <v>90</v>
      </c>
      <c r="C14" s="18"/>
      <c r="D14" s="19"/>
      <c r="E14" s="13"/>
      <c r="F14" s="16"/>
      <c r="G14" s="16"/>
      <c r="H14" s="16" t="s">
        <v>30</v>
      </c>
      <c r="I14" s="16"/>
      <c r="J14" s="16"/>
      <c r="K14" s="16"/>
      <c r="L14" s="16"/>
      <c r="M14" s="16"/>
      <c r="N14" s="16"/>
      <c r="O14" s="16"/>
      <c r="P14" s="16"/>
      <c r="Q14" s="16"/>
    </row>
    <row r="15" s="1" customFormat="1" ht="15.75" customHeight="1" spans="1:17">
      <c r="A15" s="12"/>
      <c r="B15" s="20" t="s">
        <v>91</v>
      </c>
      <c r="C15" s="21"/>
      <c r="D15" s="22"/>
      <c r="E15" s="13"/>
      <c r="F15" s="16"/>
      <c r="G15" s="16"/>
      <c r="H15" s="16"/>
      <c r="I15" s="16" t="s">
        <v>30</v>
      </c>
      <c r="J15" s="16"/>
      <c r="K15" s="16"/>
      <c r="L15" s="16"/>
      <c r="M15" s="16"/>
      <c r="N15" s="16"/>
      <c r="O15" s="16"/>
      <c r="P15" s="16"/>
      <c r="Q15" s="16"/>
    </row>
    <row r="16" s="1" customFormat="1" ht="15.75" customHeight="1" spans="1:17">
      <c r="A16" s="12"/>
      <c r="B16" s="20" t="s">
        <v>92</v>
      </c>
      <c r="C16" s="21"/>
      <c r="D16" s="22"/>
      <c r="E16" s="13"/>
      <c r="F16" s="16"/>
      <c r="G16" s="16"/>
      <c r="H16" s="16"/>
      <c r="I16" s="16"/>
      <c r="J16" s="16"/>
      <c r="K16" s="16"/>
      <c r="L16" s="16" t="s">
        <v>30</v>
      </c>
      <c r="M16" s="16" t="s">
        <v>30</v>
      </c>
      <c r="N16" s="16"/>
      <c r="O16" s="16"/>
      <c r="P16" s="16"/>
      <c r="Q16" s="16"/>
    </row>
    <row r="17" s="1" customFormat="1" ht="15.75" customHeight="1" spans="1:26">
      <c r="A17" s="12"/>
      <c r="B17" s="20" t="s">
        <v>31</v>
      </c>
      <c r="C17" s="21"/>
      <c r="D17" s="22"/>
      <c r="E17" s="13"/>
      <c r="F17" s="16"/>
      <c r="G17" s="16"/>
      <c r="H17" s="16"/>
      <c r="I17" s="16"/>
      <c r="J17" s="16"/>
      <c r="K17" s="16"/>
      <c r="L17" s="16"/>
      <c r="M17" s="16"/>
      <c r="N17" s="16"/>
      <c r="O17" s="16" t="s">
        <v>30</v>
      </c>
      <c r="P17" s="16" t="s">
        <v>30</v>
      </c>
      <c r="Q17" s="16" t="s">
        <v>30</v>
      </c>
    </row>
    <row r="18" s="1" customFormat="1" ht="15.75" customHeight="1" spans="1:26">
      <c r="A18" s="12"/>
      <c r="B18" s="2" t="s">
        <v>93</v>
      </c>
      <c r="C18" s="2"/>
      <c r="D18" s="2"/>
      <c r="E18" s="13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="1" customFormat="1" ht="15.75" customHeight="1" spans="1:26">
      <c r="A19" s="12"/>
      <c r="B19" s="14" t="s">
        <v>94</v>
      </c>
      <c r="C19" s="14"/>
      <c r="D19" s="14"/>
      <c r="E19" s="15" t="s">
        <v>30</v>
      </c>
      <c r="F19" s="15"/>
      <c r="G19" s="16"/>
      <c r="H19" s="15"/>
      <c r="I19" s="16"/>
      <c r="J19" s="16"/>
      <c r="K19" s="15"/>
      <c r="L19" s="16"/>
      <c r="M19" s="16"/>
      <c r="N19" s="16"/>
      <c r="O19" s="16"/>
      <c r="P19" s="16"/>
      <c r="Q19" s="16"/>
    </row>
    <row r="20" s="1" customFormat="1" ht="15.75" customHeight="1" spans="1:26">
      <c r="A20" s="12"/>
      <c r="B20" s="14" t="s">
        <v>95</v>
      </c>
      <c r="C20" s="14"/>
      <c r="D20" s="14"/>
      <c r="E20" s="13"/>
      <c r="F20" s="16" t="s">
        <v>30</v>
      </c>
      <c r="G20" s="15"/>
      <c r="H20" s="16"/>
      <c r="I20" s="15"/>
      <c r="J20" s="16"/>
      <c r="K20" s="16"/>
      <c r="L20" s="16"/>
      <c r="M20" s="16"/>
      <c r="N20" s="16"/>
      <c r="O20" s="16"/>
      <c r="P20" s="16"/>
      <c r="Q20" s="16"/>
    </row>
    <row r="21" s="1" customFormat="1" ht="15.75" customHeight="1" spans="1:26">
      <c r="A21" s="12"/>
      <c r="B21" s="14" t="s">
        <v>90</v>
      </c>
      <c r="C21" s="14"/>
      <c r="D21" s="14"/>
      <c r="E21" s="13"/>
      <c r="F21" s="16"/>
      <c r="G21" s="16" t="s">
        <v>30</v>
      </c>
      <c r="H21" s="16" t="s">
        <v>30</v>
      </c>
      <c r="I21" s="16"/>
      <c r="J21" s="16"/>
      <c r="K21" s="16"/>
      <c r="L21" s="16"/>
      <c r="M21" s="16"/>
      <c r="N21" s="16"/>
      <c r="O21" s="16"/>
      <c r="P21" s="16"/>
      <c r="Q21" s="16"/>
      <c r="S21" s="23"/>
      <c r="T21" s="23"/>
      <c r="U21" s="23"/>
      <c r="V21" s="23"/>
      <c r="W21" s="23"/>
      <c r="X21" s="23"/>
      <c r="Y21" s="23"/>
      <c r="Z21" s="23"/>
    </row>
    <row r="22" s="1" customFormat="1" ht="15.75" customHeight="1" spans="1:26">
      <c r="A22" s="12"/>
      <c r="B22" s="14" t="s">
        <v>31</v>
      </c>
      <c r="C22" s="14"/>
      <c r="D22" s="14"/>
      <c r="E22" s="13"/>
      <c r="F22" s="16"/>
      <c r="G22" s="16"/>
      <c r="H22" s="16"/>
      <c r="I22" s="16" t="s">
        <v>30</v>
      </c>
      <c r="J22" s="15"/>
      <c r="K22" s="16"/>
      <c r="L22" s="16"/>
      <c r="M22" s="16"/>
      <c r="N22" s="16"/>
      <c r="O22" s="16"/>
      <c r="P22" s="16"/>
      <c r="Q22" s="16"/>
    </row>
    <row r="23" s="1" customFormat="1" ht="15" customHeight="1" spans="1:26">
      <c r="A23" s="12"/>
      <c r="B23" s="14" t="s">
        <v>91</v>
      </c>
      <c r="C23" s="14"/>
      <c r="D23" s="14"/>
      <c r="E23" s="13"/>
      <c r="F23" s="16"/>
      <c r="G23" s="16"/>
      <c r="H23" s="16"/>
      <c r="I23" s="16"/>
      <c r="J23" s="16" t="s">
        <v>30</v>
      </c>
      <c r="K23" s="16"/>
      <c r="L23" s="15"/>
      <c r="M23" s="16"/>
      <c r="N23" s="16"/>
      <c r="O23" s="16" t="s">
        <v>30</v>
      </c>
      <c r="P23" s="16" t="s">
        <v>30</v>
      </c>
      <c r="Q23" s="16"/>
    </row>
    <row r="24" s="1" customFormat="1" ht="15" customHeight="1" spans="1:26">
      <c r="A24" s="12"/>
      <c r="B24" s="14" t="s">
        <v>96</v>
      </c>
      <c r="C24" s="14"/>
      <c r="D24" s="14"/>
      <c r="E24" s="13"/>
      <c r="F24" s="16"/>
      <c r="G24" s="16"/>
      <c r="H24" s="16"/>
      <c r="I24" s="16"/>
      <c r="J24" s="16"/>
      <c r="K24" s="16" t="s">
        <v>30</v>
      </c>
      <c r="L24" s="16"/>
      <c r="M24" s="15"/>
      <c r="N24" s="16"/>
      <c r="O24" s="16"/>
      <c r="P24" s="16"/>
      <c r="Q24" s="16"/>
      <c r="S24" s="24"/>
      <c r="T24" s="24"/>
      <c r="U24" s="24"/>
      <c r="V24" s="24"/>
      <c r="W24" s="24"/>
      <c r="X24" s="24"/>
      <c r="Y24" s="24"/>
      <c r="Z24" s="24"/>
    </row>
    <row r="25" s="1" customFormat="1" ht="15" customHeight="1" spans="1:26">
      <c r="A25" s="12"/>
      <c r="B25" s="14" t="s">
        <v>97</v>
      </c>
      <c r="C25" s="14"/>
      <c r="D25" s="14"/>
      <c r="E25" s="13"/>
      <c r="F25" s="16"/>
      <c r="G25" s="16"/>
      <c r="H25" s="16"/>
      <c r="I25" s="16"/>
      <c r="J25" s="16"/>
      <c r="K25" s="16"/>
      <c r="L25" s="16" t="s">
        <v>30</v>
      </c>
      <c r="M25" s="16"/>
      <c r="N25" s="15"/>
      <c r="O25" s="16"/>
      <c r="P25" s="16"/>
      <c r="Q25" s="16"/>
      <c r="S25" s="24"/>
      <c r="T25" s="24"/>
      <c r="U25" s="24"/>
      <c r="V25" s="24"/>
      <c r="W25" s="24"/>
      <c r="X25" s="24"/>
      <c r="Y25" s="24"/>
      <c r="Z25" s="24"/>
    </row>
    <row r="26" s="1" customFormat="1" ht="15" customHeight="1" spans="1:26">
      <c r="A26" s="12"/>
      <c r="B26" s="14" t="s">
        <v>98</v>
      </c>
      <c r="C26" s="14"/>
      <c r="D26" s="14"/>
      <c r="E26" s="13"/>
      <c r="F26" s="16"/>
      <c r="G26" s="16"/>
      <c r="H26" s="16"/>
      <c r="I26" s="16"/>
      <c r="J26" s="16"/>
      <c r="K26" s="16"/>
      <c r="L26" s="16"/>
      <c r="M26" s="16" t="s">
        <v>30</v>
      </c>
      <c r="N26" s="16"/>
      <c r="O26" s="15"/>
      <c r="P26" s="16"/>
      <c r="Q26" s="16"/>
      <c r="S26" s="24"/>
      <c r="T26" s="24"/>
      <c r="U26" s="24"/>
      <c r="V26" s="24"/>
      <c r="W26" s="24"/>
      <c r="X26" s="24"/>
      <c r="Y26" s="24"/>
      <c r="Z26" s="24"/>
    </row>
    <row r="27" s="1" customFormat="1" ht="15.75" customHeight="1" spans="1:26">
      <c r="A27" s="12"/>
      <c r="B27" s="20" t="s">
        <v>89</v>
      </c>
      <c r="C27" s="21"/>
      <c r="D27" s="22"/>
      <c r="E27" s="13"/>
      <c r="F27" s="16"/>
      <c r="G27" s="16"/>
      <c r="H27" s="16"/>
      <c r="I27" s="16"/>
      <c r="J27" s="16"/>
      <c r="K27" s="16"/>
      <c r="L27" s="16"/>
      <c r="M27" s="16"/>
      <c r="N27" s="16" t="s">
        <v>30</v>
      </c>
      <c r="O27" s="16"/>
      <c r="P27" s="16"/>
      <c r="Q27" s="16" t="s">
        <v>30</v>
      </c>
      <c r="S27" s="24"/>
      <c r="T27" s="24"/>
      <c r="U27" s="24"/>
      <c r="V27" s="24"/>
      <c r="W27" s="24"/>
      <c r="X27" s="24"/>
      <c r="Y27" s="24"/>
      <c r="Z27" s="24"/>
    </row>
    <row r="28" s="1" customFormat="1" ht="15.75" customHeight="1" spans="1:26">
      <c r="A28" s="12"/>
      <c r="B28" s="2" t="s">
        <v>99</v>
      </c>
      <c r="C28" s="2"/>
      <c r="D28" s="2"/>
      <c r="E28" s="13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S28" s="24"/>
      <c r="T28" s="24"/>
      <c r="U28" s="24"/>
      <c r="V28" s="24"/>
      <c r="W28" s="24"/>
      <c r="X28" s="24"/>
      <c r="Y28" s="24"/>
      <c r="Z28" s="24"/>
    </row>
    <row r="29" s="1" customFormat="1" ht="15.75" customHeight="1" spans="1:26">
      <c r="A29" s="12"/>
      <c r="B29" s="14" t="s">
        <v>100</v>
      </c>
      <c r="C29" s="14"/>
      <c r="D29" s="14"/>
      <c r="E29" s="15" t="s">
        <v>30</v>
      </c>
      <c r="F29" s="16"/>
      <c r="G29" s="15"/>
      <c r="H29" s="16"/>
      <c r="I29" s="16"/>
      <c r="J29" s="16"/>
      <c r="K29" s="15"/>
      <c r="L29" s="16"/>
      <c r="M29" s="16"/>
      <c r="N29" s="16"/>
      <c r="O29" s="16"/>
      <c r="P29" s="16"/>
      <c r="Q29" s="16"/>
      <c r="S29" s="24"/>
      <c r="T29" s="24"/>
      <c r="U29" s="24"/>
      <c r="V29" s="24"/>
      <c r="W29" s="24"/>
      <c r="X29" s="24"/>
      <c r="Y29" s="24"/>
      <c r="Z29" s="24"/>
    </row>
    <row r="30" s="1" customFormat="1" ht="15.75" customHeight="1" spans="1:26">
      <c r="A30" s="12"/>
      <c r="B30" s="14" t="s">
        <v>101</v>
      </c>
      <c r="C30" s="14"/>
      <c r="D30" s="14"/>
      <c r="E30" s="13"/>
      <c r="F30" s="15" t="s">
        <v>30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S30" s="24"/>
      <c r="T30" s="24"/>
      <c r="U30" s="24"/>
      <c r="V30" s="24"/>
      <c r="W30" s="24"/>
      <c r="X30" s="24"/>
      <c r="Y30" s="24"/>
      <c r="Z30" s="24"/>
    </row>
    <row r="31" s="1" customFormat="1" ht="15" customHeight="1" spans="1:26">
      <c r="A31" s="12"/>
      <c r="B31" s="14" t="s">
        <v>95</v>
      </c>
      <c r="C31" s="14"/>
      <c r="D31" s="14"/>
      <c r="E31" s="13"/>
      <c r="F31" s="16"/>
      <c r="G31" s="16" t="s">
        <v>30</v>
      </c>
      <c r="H31" s="15"/>
      <c r="I31" s="15"/>
      <c r="J31" s="16" t="s">
        <v>30</v>
      </c>
      <c r="K31" s="16"/>
      <c r="L31" s="16"/>
      <c r="M31" s="16"/>
      <c r="N31" s="16"/>
      <c r="O31" s="16"/>
      <c r="P31" s="16"/>
      <c r="Q31" s="16"/>
      <c r="S31" s="24"/>
      <c r="T31" s="24"/>
      <c r="U31" s="24"/>
      <c r="V31" s="24"/>
      <c r="W31" s="24"/>
      <c r="X31" s="24"/>
      <c r="Y31" s="24"/>
      <c r="Z31" s="24"/>
    </row>
    <row r="32" s="1" customFormat="1" ht="15.75" customHeight="1" spans="1:26">
      <c r="A32" s="12"/>
      <c r="B32" s="14" t="s">
        <v>90</v>
      </c>
      <c r="C32" s="14"/>
      <c r="D32" s="14"/>
      <c r="E32" s="13"/>
      <c r="F32" s="16"/>
      <c r="G32" s="16"/>
      <c r="H32" s="16" t="s">
        <v>30</v>
      </c>
      <c r="I32" s="16"/>
      <c r="J32" s="15"/>
      <c r="K32" s="16"/>
      <c r="L32" s="16"/>
      <c r="M32" s="16"/>
      <c r="N32" s="16"/>
      <c r="O32" s="16"/>
      <c r="P32" s="16" t="s">
        <v>30</v>
      </c>
      <c r="Q32" s="16"/>
      <c r="S32" s="24"/>
      <c r="T32" s="24"/>
      <c r="U32" s="24"/>
      <c r="V32" s="24"/>
      <c r="W32" s="24"/>
      <c r="X32" s="24"/>
      <c r="Y32" s="24"/>
      <c r="Z32" s="24"/>
    </row>
    <row r="33" s="1" customFormat="1" ht="15" customHeight="1" spans="1:26">
      <c r="A33" s="12"/>
      <c r="B33" s="14" t="s">
        <v>96</v>
      </c>
      <c r="C33" s="14"/>
      <c r="D33" s="14"/>
      <c r="E33" s="13"/>
      <c r="F33" s="16"/>
      <c r="G33" s="16"/>
      <c r="H33" s="16"/>
      <c r="I33" s="16" t="s">
        <v>30</v>
      </c>
      <c r="J33" s="16"/>
      <c r="K33" s="16"/>
      <c r="L33" s="15"/>
      <c r="M33" s="16"/>
      <c r="N33" s="16"/>
      <c r="O33" s="16" t="s">
        <v>30</v>
      </c>
      <c r="P33" s="15"/>
      <c r="Q33" s="16"/>
      <c r="S33" s="24"/>
      <c r="T33" s="24"/>
      <c r="U33" s="24"/>
      <c r="V33" s="24"/>
      <c r="W33" s="24"/>
      <c r="X33" s="24"/>
      <c r="Y33" s="24"/>
      <c r="Z33" s="24"/>
    </row>
    <row r="34" s="1" customFormat="1" ht="15.75" customHeight="1" spans="1:26">
      <c r="A34" s="12"/>
      <c r="B34" s="14" t="s">
        <v>91</v>
      </c>
      <c r="C34" s="14"/>
      <c r="D34" s="14"/>
      <c r="E34" s="13"/>
      <c r="F34" s="16"/>
      <c r="G34" s="16"/>
      <c r="H34" s="16"/>
      <c r="I34" s="16"/>
      <c r="J34" s="16"/>
      <c r="K34" s="16" t="s">
        <v>30</v>
      </c>
      <c r="L34" s="16"/>
      <c r="M34" s="16"/>
      <c r="N34" s="15"/>
      <c r="O34" s="16"/>
      <c r="P34" s="16"/>
      <c r="Q34" s="16"/>
      <c r="S34" s="24"/>
      <c r="T34" s="24"/>
      <c r="U34" s="24"/>
      <c r="V34" s="24"/>
      <c r="W34" s="24"/>
      <c r="X34" s="24"/>
      <c r="Y34" s="24"/>
      <c r="Z34" s="24"/>
    </row>
    <row r="35" s="1" customFormat="1" ht="15.75" customHeight="1" spans="1:26">
      <c r="A35" s="12"/>
      <c r="B35" s="14" t="s">
        <v>102</v>
      </c>
      <c r="C35" s="14"/>
      <c r="D35" s="14"/>
      <c r="E35" s="13"/>
      <c r="F35" s="16"/>
      <c r="G35" s="16"/>
      <c r="H35" s="16"/>
      <c r="I35" s="16"/>
      <c r="J35" s="16"/>
      <c r="K35" s="16"/>
      <c r="L35" s="16" t="s">
        <v>30</v>
      </c>
      <c r="M35" s="16"/>
      <c r="N35" s="16"/>
      <c r="O35" s="15"/>
      <c r="P35" s="16"/>
      <c r="Q35" s="16"/>
      <c r="S35" s="24"/>
      <c r="T35" s="24"/>
      <c r="U35" s="24"/>
      <c r="V35" s="24"/>
      <c r="W35" s="24"/>
      <c r="X35" s="24"/>
      <c r="Y35" s="24"/>
      <c r="Z35" s="24"/>
    </row>
    <row r="36" s="1" customFormat="1" ht="15.75" customHeight="1" spans="1:26">
      <c r="A36" s="12"/>
      <c r="B36" s="14" t="s">
        <v>103</v>
      </c>
      <c r="C36" s="14"/>
      <c r="D36" s="14"/>
      <c r="E36" s="13"/>
      <c r="F36" s="16"/>
      <c r="G36" s="16"/>
      <c r="H36" s="16"/>
      <c r="I36" s="16"/>
      <c r="J36" s="16"/>
      <c r="K36" s="16"/>
      <c r="L36" s="16"/>
      <c r="M36" s="16" t="s">
        <v>30</v>
      </c>
      <c r="N36" s="16"/>
      <c r="O36" s="16"/>
      <c r="P36" s="16"/>
      <c r="Q36" s="16"/>
      <c r="S36" s="24"/>
      <c r="T36" s="24"/>
      <c r="U36" s="24"/>
      <c r="V36" s="24"/>
      <c r="W36" s="24"/>
      <c r="X36" s="24"/>
      <c r="Y36" s="24"/>
      <c r="Z36" s="24"/>
    </row>
    <row r="37" s="1" customFormat="1" ht="15" customHeight="1" spans="1:26">
      <c r="A37" s="12"/>
      <c r="B37" s="20" t="s">
        <v>104</v>
      </c>
      <c r="C37" s="21"/>
      <c r="D37" s="22"/>
      <c r="E37" s="13"/>
      <c r="F37" s="16"/>
      <c r="G37" s="16"/>
      <c r="H37" s="16"/>
      <c r="I37" s="16"/>
      <c r="J37" s="16"/>
      <c r="K37" s="16"/>
      <c r="L37" s="16"/>
      <c r="M37" s="16"/>
      <c r="N37" s="16" t="s">
        <v>30</v>
      </c>
      <c r="O37" s="16"/>
      <c r="P37" s="16"/>
      <c r="Q37" s="16"/>
      <c r="S37" s="24"/>
      <c r="T37" s="24"/>
      <c r="U37" s="24"/>
      <c r="V37" s="24"/>
      <c r="W37" s="24"/>
      <c r="X37" s="24"/>
      <c r="Y37" s="24"/>
      <c r="Z37" s="24"/>
    </row>
    <row r="38" s="1" customFormat="1" ht="15" customHeight="1" spans="1:26">
      <c r="A38" s="12"/>
      <c r="B38" s="20" t="s">
        <v>105</v>
      </c>
      <c r="C38" s="21"/>
      <c r="D38" s="22"/>
      <c r="E38" s="1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 t="s">
        <v>30</v>
      </c>
      <c r="S38" s="24"/>
      <c r="T38" s="24"/>
      <c r="U38" s="24"/>
      <c r="V38" s="24"/>
      <c r="W38" s="24"/>
      <c r="X38" s="24"/>
      <c r="Y38" s="24"/>
      <c r="Z38" s="24"/>
    </row>
    <row r="39" s="1" customFormat="1" ht="15" customHeight="1" spans="1:26">
      <c r="A39" s="12" t="s">
        <v>50</v>
      </c>
      <c r="B39" s="2" t="s">
        <v>51</v>
      </c>
      <c r="C39" s="2"/>
      <c r="D39" s="2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S39" s="24"/>
      <c r="T39" s="24"/>
      <c r="U39" s="24"/>
      <c r="V39" s="24"/>
      <c r="W39" s="24"/>
      <c r="X39" s="24"/>
      <c r="Y39" s="24"/>
      <c r="Z39" s="24"/>
    </row>
    <row r="40" s="1" customFormat="1" ht="15.75" customHeight="1" spans="1:26">
      <c r="A40" s="12"/>
      <c r="B40" s="14" t="s">
        <v>106</v>
      </c>
      <c r="C40" s="14"/>
      <c r="D40" s="14"/>
      <c r="E40" s="15" t="s">
        <v>30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="1" customFormat="1" ht="15" customHeight="1" spans="1:26">
      <c r="A41" s="12"/>
      <c r="B41" s="14" t="s">
        <v>29</v>
      </c>
      <c r="C41" s="14"/>
      <c r="D41" s="14"/>
      <c r="E41" s="13"/>
      <c r="F41" s="16" t="s">
        <v>30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="1" customFormat="1" ht="15.75" customHeight="1" spans="1:26">
      <c r="A42" s="12"/>
      <c r="B42" s="14" t="s">
        <v>89</v>
      </c>
      <c r="C42" s="14"/>
      <c r="D42" s="14"/>
      <c r="E42" s="13"/>
      <c r="F42" s="13"/>
      <c r="G42" s="16" t="s">
        <v>30</v>
      </c>
      <c r="H42" s="13"/>
      <c r="I42" s="13"/>
      <c r="J42" s="15"/>
      <c r="K42" s="13"/>
      <c r="L42" s="13"/>
      <c r="M42" s="13"/>
      <c r="N42" s="13"/>
      <c r="O42" s="13"/>
      <c r="P42" s="15"/>
      <c r="Q42" s="15"/>
    </row>
    <row r="43" s="1" customFormat="1" ht="15.75" customHeight="1" spans="1:26">
      <c r="A43" s="12"/>
      <c r="B43" s="14" t="s">
        <v>90</v>
      </c>
      <c r="C43" s="14"/>
      <c r="D43" s="14"/>
      <c r="E43" s="13"/>
      <c r="F43" s="13"/>
      <c r="G43" s="13"/>
      <c r="H43" s="16" t="s">
        <v>30</v>
      </c>
      <c r="I43" s="13"/>
      <c r="J43" s="13"/>
      <c r="K43" s="13"/>
      <c r="L43" s="13"/>
      <c r="M43" s="13"/>
      <c r="N43" s="13"/>
      <c r="O43" s="13"/>
      <c r="P43" s="25" t="s">
        <v>30</v>
      </c>
      <c r="Q43" s="13"/>
    </row>
    <row r="44" s="1" customFormat="1" ht="15.75" customHeight="1" spans="1:26">
      <c r="A44" s="12"/>
      <c r="B44" s="14" t="s">
        <v>107</v>
      </c>
      <c r="C44" s="14"/>
      <c r="D44" s="14"/>
      <c r="E44" s="13"/>
      <c r="F44" s="13"/>
      <c r="G44" s="13"/>
      <c r="H44" s="13"/>
      <c r="I44" s="15"/>
      <c r="J44" s="13"/>
      <c r="K44" s="15"/>
      <c r="L44" s="16" t="s">
        <v>30</v>
      </c>
      <c r="M44" s="13"/>
      <c r="N44" s="13"/>
      <c r="O44" s="13"/>
      <c r="P44" s="13"/>
      <c r="Q44" s="26"/>
    </row>
    <row r="45" s="1" customFormat="1" ht="23.25" customHeight="1" spans="1:26">
      <c r="A45" s="12"/>
      <c r="B45" s="14" t="s">
        <v>108</v>
      </c>
      <c r="C45" s="14"/>
      <c r="D45" s="14"/>
      <c r="E45" s="13"/>
      <c r="F45" s="13"/>
      <c r="G45" s="13"/>
      <c r="H45" s="13"/>
      <c r="I45" s="13"/>
      <c r="J45" s="13"/>
      <c r="K45" s="13"/>
      <c r="L45" s="13"/>
      <c r="M45" s="16" t="s">
        <v>30</v>
      </c>
      <c r="N45" s="13"/>
      <c r="O45" s="13"/>
      <c r="P45" s="13"/>
      <c r="Q45" s="26"/>
    </row>
    <row r="46" s="1" customFormat="1" ht="15.75" customHeight="1" spans="1:26">
      <c r="A46" s="12"/>
      <c r="B46" s="14" t="s">
        <v>104</v>
      </c>
      <c r="C46" s="14"/>
      <c r="D46" s="14"/>
      <c r="E46" s="13"/>
      <c r="F46" s="13"/>
      <c r="G46" s="13"/>
      <c r="H46" s="13"/>
      <c r="I46" s="13"/>
      <c r="J46" s="13"/>
      <c r="K46" s="13"/>
      <c r="L46" s="15"/>
      <c r="M46" s="13"/>
      <c r="N46" s="16" t="s">
        <v>30</v>
      </c>
      <c r="O46" s="13"/>
      <c r="P46" s="13"/>
      <c r="Q46" s="26"/>
    </row>
    <row r="47" s="1" customFormat="1" ht="15.75" customHeight="1" spans="1:26">
      <c r="A47" s="12"/>
      <c r="B47" s="14" t="s">
        <v>96</v>
      </c>
      <c r="C47" s="14"/>
      <c r="D47" s="14"/>
      <c r="E47" s="13"/>
      <c r="F47" s="13"/>
      <c r="G47" s="13"/>
      <c r="H47" s="13"/>
      <c r="I47" s="13"/>
      <c r="J47" s="13"/>
      <c r="K47" s="13"/>
      <c r="L47" s="13"/>
      <c r="M47" s="15"/>
      <c r="N47" s="13"/>
      <c r="O47" s="16" t="s">
        <v>30</v>
      </c>
      <c r="P47" s="13"/>
      <c r="Q47" s="26"/>
    </row>
    <row r="48" s="1" customFormat="1" ht="15.75" customHeight="1" spans="1:26">
      <c r="A48" s="12"/>
      <c r="B48" s="14" t="s">
        <v>31</v>
      </c>
      <c r="C48" s="14"/>
      <c r="D48" s="14"/>
      <c r="E48" s="13"/>
      <c r="F48" s="13"/>
      <c r="G48" s="13"/>
      <c r="H48" s="13"/>
      <c r="I48" s="13"/>
      <c r="J48" s="13"/>
      <c r="K48" s="13"/>
      <c r="L48" s="13"/>
      <c r="M48" s="13"/>
      <c r="N48" s="15"/>
      <c r="O48" s="13"/>
      <c r="Q48" s="16" t="s">
        <v>30</v>
      </c>
    </row>
    <row r="49" s="1" customFormat="1" ht="15.75" customHeight="1" spans="1:17">
      <c r="A49" s="12"/>
      <c r="B49" s="2" t="s">
        <v>55</v>
      </c>
      <c r="C49" s="2"/>
      <c r="D49" s="2"/>
      <c r="E49" s="13"/>
      <c r="F49" s="13"/>
      <c r="G49" s="13"/>
      <c r="H49" s="13"/>
      <c r="I49" s="16" t="s">
        <v>30</v>
      </c>
      <c r="J49" s="16" t="s">
        <v>30</v>
      </c>
      <c r="K49" s="16" t="s">
        <v>30</v>
      </c>
      <c r="M49" s="13"/>
      <c r="N49" s="13"/>
      <c r="O49" s="13"/>
      <c r="P49" s="13"/>
      <c r="Q49" s="13"/>
    </row>
    <row r="50" s="1" customFormat="1" ht="15.75" customHeight="1" spans="1:17">
      <c r="A50" s="12"/>
      <c r="B50" s="14"/>
      <c r="C50" s="14"/>
      <c r="D50" s="14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="1" customFormat="1" ht="15.75" customHeight="1" spans="1:17">
      <c r="A51" s="12" t="s">
        <v>109</v>
      </c>
      <c r="B51" s="27" t="s">
        <v>56</v>
      </c>
      <c r="C51" s="27"/>
      <c r="D51" s="27"/>
      <c r="E51" s="13" t="s">
        <v>57</v>
      </c>
      <c r="F51" s="13" t="s">
        <v>57</v>
      </c>
      <c r="G51" s="13" t="s">
        <v>57</v>
      </c>
      <c r="H51" s="13" t="s">
        <v>57</v>
      </c>
      <c r="I51" s="13" t="s">
        <v>110</v>
      </c>
      <c r="J51" s="13" t="s">
        <v>110</v>
      </c>
      <c r="K51" s="13" t="s">
        <v>110</v>
      </c>
      <c r="L51" s="13" t="s">
        <v>58</v>
      </c>
      <c r="M51" s="13" t="s">
        <v>58</v>
      </c>
      <c r="N51" s="13" t="s">
        <v>58</v>
      </c>
      <c r="O51" s="13" t="s">
        <v>58</v>
      </c>
      <c r="P51" s="13" t="s">
        <v>58</v>
      </c>
      <c r="Q51" s="13" t="s">
        <v>58</v>
      </c>
    </row>
    <row r="52" s="1" customFormat="1" ht="15.75" customHeight="1" spans="1:17">
      <c r="A52" s="12"/>
      <c r="B52" s="7" t="s">
        <v>59</v>
      </c>
      <c r="C52" s="7"/>
      <c r="D52" s="7"/>
      <c r="E52" s="28" t="s">
        <v>61</v>
      </c>
      <c r="F52" s="28" t="s">
        <v>60</v>
      </c>
      <c r="G52" s="28" t="s">
        <v>60</v>
      </c>
      <c r="H52" s="28" t="s">
        <v>61</v>
      </c>
      <c r="I52" s="28" t="s">
        <v>60</v>
      </c>
      <c r="J52" s="28" t="s">
        <v>60</v>
      </c>
      <c r="K52" s="28" t="s">
        <v>60</v>
      </c>
      <c r="L52" s="28" t="s">
        <v>60</v>
      </c>
      <c r="M52" s="28" t="s">
        <v>61</v>
      </c>
      <c r="N52" s="28" t="s">
        <v>60</v>
      </c>
      <c r="O52" s="28" t="s">
        <v>60</v>
      </c>
      <c r="P52" s="28" t="s">
        <v>61</v>
      </c>
      <c r="Q52" s="28" t="s">
        <v>60</v>
      </c>
    </row>
    <row r="53" s="1" customFormat="1" spans="1:17">
      <c r="A53" s="12"/>
      <c r="B53" s="7" t="s">
        <v>62</v>
      </c>
      <c r="C53" s="7"/>
      <c r="D53" s="7"/>
      <c r="E53" s="29" t="s">
        <v>63</v>
      </c>
      <c r="F53" s="29" t="s">
        <v>63</v>
      </c>
      <c r="G53" s="29" t="s">
        <v>63</v>
      </c>
      <c r="H53" s="29" t="s">
        <v>63</v>
      </c>
      <c r="I53" s="29" t="s">
        <v>63</v>
      </c>
      <c r="J53" s="29" t="s">
        <v>63</v>
      </c>
      <c r="K53" s="29" t="s">
        <v>63</v>
      </c>
      <c r="L53" s="29" t="s">
        <v>63</v>
      </c>
      <c r="M53" s="29" t="s">
        <v>63</v>
      </c>
      <c r="N53" s="29" t="s">
        <v>63</v>
      </c>
      <c r="O53" s="29" t="s">
        <v>63</v>
      </c>
      <c r="P53" s="29" t="s">
        <v>63</v>
      </c>
      <c r="Q53" s="29" t="s">
        <v>63</v>
      </c>
    </row>
    <row r="54" s="1" customFormat="1" ht="30" customHeight="1" spans="1:17">
      <c r="A54" s="12"/>
      <c r="B54" s="7" t="s">
        <v>64</v>
      </c>
      <c r="C54" s="7"/>
      <c r="D54" s="7"/>
      <c r="E54" s="13"/>
      <c r="F54" s="30" t="s">
        <v>65</v>
      </c>
      <c r="G54" s="30" t="s">
        <v>66</v>
      </c>
      <c r="H54" s="13"/>
      <c r="I54" s="31" t="s">
        <v>67</v>
      </c>
      <c r="J54" s="30" t="s">
        <v>68</v>
      </c>
      <c r="K54" s="31" t="s">
        <v>69</v>
      </c>
      <c r="L54" s="30" t="s">
        <v>70</v>
      </c>
      <c r="M54" s="13"/>
      <c r="N54" s="30" t="s">
        <v>71</v>
      </c>
      <c r="O54" s="31" t="s">
        <v>72</v>
      </c>
      <c r="P54" s="30"/>
      <c r="Q54" s="30" t="s">
        <v>73</v>
      </c>
    </row>
    <row r="57" s="1" customFormat="1" spans="1:17">
      <c r="B57" s="32" t="s">
        <v>76</v>
      </c>
      <c r="C57" s="33"/>
    </row>
    <row r="58" s="1" customFormat="1" spans="1:17">
      <c r="B58" s="32" t="s">
        <v>63</v>
      </c>
      <c r="C58" s="34">
        <v>46063</v>
      </c>
    </row>
    <row r="59" s="1" customFormat="1" spans="1:17">
      <c r="B59" s="1" t="s">
        <v>65</v>
      </c>
      <c r="C59" s="1" t="s">
        <v>111</v>
      </c>
    </row>
    <row r="60" s="1" customFormat="1" spans="1:17">
      <c r="B60" s="1" t="s">
        <v>66</v>
      </c>
      <c r="C60" s="1" t="s">
        <v>112</v>
      </c>
    </row>
    <row r="61" s="1" customFormat="1" spans="1:17">
      <c r="B61" s="1" t="s">
        <v>67</v>
      </c>
      <c r="C61" s="1" t="s">
        <v>113</v>
      </c>
    </row>
    <row r="62" s="1" customFormat="1" spans="1:17">
      <c r="B62" s="1" t="s">
        <v>68</v>
      </c>
      <c r="C62" s="1" t="s">
        <v>114</v>
      </c>
    </row>
    <row r="63" s="1" customFormat="1" spans="1:17">
      <c r="B63" s="1" t="s">
        <v>69</v>
      </c>
      <c r="C63" s="1" t="s">
        <v>115</v>
      </c>
    </row>
    <row r="64" s="1" customFormat="1" spans="1:17">
      <c r="B64" s="1" t="s">
        <v>70</v>
      </c>
      <c r="C64" s="35" t="s">
        <v>116</v>
      </c>
    </row>
    <row r="65" customFormat="1" ht="14.4" spans="2:3">
      <c r="B65" s="1" t="s">
        <v>71</v>
      </c>
      <c r="C65" s="1" t="s">
        <v>117</v>
      </c>
    </row>
    <row r="66" spans="2:3">
      <c r="B66" s="1" t="s">
        <v>72</v>
      </c>
      <c r="C66" s="1" t="s">
        <v>117</v>
      </c>
    </row>
    <row r="67" spans="2:3">
      <c r="B67" s="1" t="s">
        <v>73</v>
      </c>
      <c r="C67" s="1" t="s">
        <v>118</v>
      </c>
    </row>
  </sheetData>
  <mergeCells count="66">
    <mergeCell ref="B2:D2"/>
    <mergeCell ref="E2:K2"/>
    <mergeCell ref="L2:Q2"/>
    <mergeCell ref="B3:D3"/>
    <mergeCell ref="E3:K3"/>
    <mergeCell ref="L3:Q3"/>
    <mergeCell ref="B4:D4"/>
    <mergeCell ref="E4:K4"/>
    <mergeCell ref="L4:Q4"/>
    <mergeCell ref="B5:Q5"/>
    <mergeCell ref="B6:D6"/>
    <mergeCell ref="E6:H6"/>
    <mergeCell ref="I6:K6"/>
    <mergeCell ref="L6:Q6"/>
    <mergeCell ref="B7:D7"/>
    <mergeCell ref="E7:H7"/>
    <mergeCell ref="L7:Q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S21:Z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10:A36"/>
    <mergeCell ref="A39:A50"/>
    <mergeCell ref="A51:A54"/>
  </mergeCells>
  <dataValidations count="1">
    <dataValidation type="list" allowBlank="1" showInputMessage="1" showErrorMessage="1" sqref="E11 G11:H11 J11 L11:Q11 F12 I13 K13 E19:F19 H19 K19 G20 I20 J22 L23 M24 N25 O26 E29 G29 K29 F30 H31:I31 J32 L33 P33 N34 O35 E40 J42 P42:Q42 I44 K44 L46 M47 N48">
      <formula1>"O, 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UT_Lab04</vt:lpstr>
      <vt:lpstr>UT_Lab05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Bao Phan</cp:lastModifiedBy>
  <dcterms:created xsi:type="dcterms:W3CDTF">2026-10-05T09:51:00Z</dcterms:created>
  <dcterms:modified xsi:type="dcterms:W3CDTF">2026-10-06T13:49:05Z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19EAF05B02F944918A2E239E384938A0_11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1</vt:i4>
  </property>
</Properties>
</file>